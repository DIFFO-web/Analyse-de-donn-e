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Ex4.xml" ContentType="application/vnd.ms-office.chartex+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charts/chart24.xml" ContentType="application/vnd.openxmlformats-officedocument.drawingml.chart+xml"/>
  <Override PartName="/xl/charts/style28.xml" ContentType="application/vnd.ms-office.chartstyle+xml"/>
  <Override PartName="/xl/charts/colors28.xml" ContentType="application/vnd.ms-office.chartcolorstyle+xml"/>
  <Override PartName="/xl/charts/chart25.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randa\Desktop\ECOLE\DS4\Data_Visualisation\projet_Excel\"/>
    </mc:Choice>
  </mc:AlternateContent>
  <bookViews>
    <workbookView xWindow="0" yWindow="0" windowWidth="15470" windowHeight="4100" firstSheet="5" activeTab="9"/>
  </bookViews>
  <sheets>
    <sheet name="Feuil3" sheetId="4" r:id="rId1"/>
    <sheet name="Feuil4" sheetId="5" r:id="rId2"/>
    <sheet name="Feuil5" sheetId="6" r:id="rId3"/>
    <sheet name="Feuil6" sheetId="7" r:id="rId4"/>
    <sheet name="Feuil7" sheetId="8" r:id="rId5"/>
    <sheet name="donnees" sheetId="1" r:id="rId6"/>
    <sheet name="analyse" sheetId="2" r:id="rId7"/>
    <sheet name="Feuil2" sheetId="10" r:id="rId8"/>
    <sheet name="Feuil8" sheetId="11" r:id="rId9"/>
    <sheet name="Analyse_données" sheetId="9" r:id="rId10"/>
    <sheet name="croisé" sheetId="3" r:id="rId11"/>
  </sheets>
  <definedNames>
    <definedName name="_xlchart.v1.0" hidden="1">donnees!$E$1</definedName>
    <definedName name="_xlchart.v1.1" hidden="1">donnees!$E$2:$E$151</definedName>
    <definedName name="_xlchart.v1.2" hidden="1">donnees!$B$1</definedName>
    <definedName name="_xlchart.v1.3" hidden="1">donnees!$B$2:$B$151</definedName>
    <definedName name="_xlchart.v1.4" hidden="1">donnees!$D$1</definedName>
    <definedName name="_xlchart.v1.5" hidden="1">donnees!$D$2:$D$151</definedName>
    <definedName name="_xlchart.v1.6" hidden="1">donnees!$C$1</definedName>
    <definedName name="_xlchart.v1.7" hidden="1">donnees!$C$2:$C$151</definedName>
    <definedName name="_xlchart.v1.8" hidden="1">donnees!$E$1</definedName>
    <definedName name="_xlchart.v1.9" hidden="1">donnees!$E$2:$E$151</definedName>
  </definedNames>
  <calcPr calcId="162913"/>
  <pivotCaches>
    <pivotCache cacheId="0" r:id="rId12"/>
    <pivotCache cacheId="1" r:id="rId13"/>
    <pivotCache cacheId="2" r:id="rId14"/>
    <pivotCache cacheId="3" r:id="rId15"/>
    <pivotCache cacheId="4" r:id="rId16"/>
  </pivotCaches>
</workbook>
</file>

<file path=xl/calcChain.xml><?xml version="1.0" encoding="utf-8"?>
<calcChain xmlns="http://schemas.openxmlformats.org/spreadsheetml/2006/main">
  <c r="I20" i="1" l="1"/>
  <c r="I2" i="1"/>
  <c r="L251" i="9" l="1"/>
  <c r="K5" i="1"/>
  <c r="D177" i="9"/>
  <c r="C214" i="9"/>
  <c r="C215" i="9"/>
  <c r="C213" i="9"/>
  <c r="C177" i="9"/>
  <c r="C178" i="9"/>
  <c r="D178" i="9" s="1"/>
  <c r="C179" i="9"/>
  <c r="D179" i="9" s="1"/>
  <c r="C137" i="9"/>
  <c r="D137" i="9" s="1"/>
  <c r="D138" i="9" s="1"/>
  <c r="D139" i="9" s="1"/>
  <c r="C138" i="9"/>
  <c r="C139" i="9"/>
  <c r="C140" i="9"/>
  <c r="C141" i="9"/>
  <c r="C142" i="9"/>
  <c r="C143" i="9"/>
  <c r="C144" i="9"/>
  <c r="C145" i="9"/>
  <c r="C146" i="9"/>
  <c r="C147" i="9"/>
  <c r="C148" i="9"/>
  <c r="C149" i="9"/>
  <c r="C150" i="9"/>
  <c r="C151" i="9"/>
  <c r="C152" i="9"/>
  <c r="C153" i="9"/>
  <c r="C154" i="9"/>
  <c r="C155" i="9"/>
  <c r="C156" i="9"/>
  <c r="C157" i="9"/>
  <c r="C158" i="9"/>
  <c r="C86" i="9"/>
  <c r="D86" i="9" s="1"/>
  <c r="C128"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50" i="9"/>
  <c r="C51" i="9"/>
  <c r="C52" i="9"/>
  <c r="C53" i="9"/>
  <c r="C54" i="9"/>
  <c r="C55" i="9"/>
  <c r="C56" i="9"/>
  <c r="C57" i="9"/>
  <c r="C58" i="9"/>
  <c r="C59" i="9"/>
  <c r="C60" i="9"/>
  <c r="C61" i="9"/>
  <c r="C62" i="9"/>
  <c r="C63" i="9"/>
  <c r="C64" i="9"/>
  <c r="C65" i="9"/>
  <c r="C66" i="9"/>
  <c r="C67" i="9"/>
  <c r="C68" i="9"/>
  <c r="C69" i="9"/>
  <c r="C70" i="9"/>
  <c r="C71" i="9"/>
  <c r="C72" i="9"/>
  <c r="C8" i="9"/>
  <c r="D8" i="9" s="1"/>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N44" i="9"/>
  <c r="M139" i="1"/>
  <c r="C216" i="9" l="1"/>
  <c r="D215" i="9" s="1"/>
  <c r="D87" i="9"/>
  <c r="D88" i="9" s="1"/>
  <c r="D89" i="9" s="1"/>
  <c r="D90" i="9" s="1"/>
  <c r="D91" i="9" s="1"/>
  <c r="D92" i="9" s="1"/>
  <c r="D93" i="9" s="1"/>
  <c r="D94" i="9" s="1"/>
  <c r="D95" i="9" s="1"/>
  <c r="D96" i="9" s="1"/>
  <c r="D97" i="9" s="1"/>
  <c r="D98" i="9" s="1"/>
  <c r="D99" i="9" s="1"/>
  <c r="D100" i="9" s="1"/>
  <c r="D101" i="9" s="1"/>
  <c r="D102" i="9" s="1"/>
  <c r="D103" i="9" s="1"/>
  <c r="D104" i="9" s="1"/>
  <c r="D105" i="9" s="1"/>
  <c r="D106" i="9" s="1"/>
  <c r="D107" i="9" s="1"/>
  <c r="D108" i="9" s="1"/>
  <c r="D109" i="9" s="1"/>
  <c r="D110" i="9" s="1"/>
  <c r="D111" i="9" s="1"/>
  <c r="D112" i="9" s="1"/>
  <c r="D113" i="9" s="1"/>
  <c r="D114" i="9" s="1"/>
  <c r="D115" i="9" s="1"/>
  <c r="D116" i="9" s="1"/>
  <c r="D117" i="9" s="1"/>
  <c r="D118" i="9" s="1"/>
  <c r="D119" i="9" s="1"/>
  <c r="D120" i="9" s="1"/>
  <c r="D121" i="9" s="1"/>
  <c r="D122" i="9" s="1"/>
  <c r="D123" i="9" s="1"/>
  <c r="D124" i="9" s="1"/>
  <c r="D125" i="9" s="1"/>
  <c r="D126" i="9" s="1"/>
  <c r="D127" i="9" s="1"/>
  <c r="D128" i="9" s="1"/>
  <c r="D140" i="9"/>
  <c r="D141" i="9" s="1"/>
  <c r="D142" i="9" s="1"/>
  <c r="D143" i="9" s="1"/>
  <c r="D144" i="9" s="1"/>
  <c r="D145" i="9" s="1"/>
  <c r="D146" i="9" s="1"/>
  <c r="D147" i="9" s="1"/>
  <c r="D148" i="9" s="1"/>
  <c r="D149" i="9" s="1"/>
  <c r="D150" i="9" s="1"/>
  <c r="D151" i="9" s="1"/>
  <c r="D152" i="9" s="1"/>
  <c r="D153" i="9" s="1"/>
  <c r="D154" i="9" s="1"/>
  <c r="D155" i="9" s="1"/>
  <c r="D156" i="9" s="1"/>
  <c r="D157" i="9" s="1"/>
  <c r="D158" i="9" s="1"/>
  <c r="E157" i="9" s="1"/>
  <c r="E151" i="9"/>
  <c r="D50" i="9"/>
  <c r="D51" i="9" s="1"/>
  <c r="D52" i="9" s="1"/>
  <c r="D53" i="9" s="1"/>
  <c r="D54" i="9" s="1"/>
  <c r="D55" i="9" s="1"/>
  <c r="D56" i="9" s="1"/>
  <c r="D57" i="9" s="1"/>
  <c r="D58" i="9" s="1"/>
  <c r="D59" i="9" s="1"/>
  <c r="D60" i="9" s="1"/>
  <c r="D61" i="9" s="1"/>
  <c r="D62" i="9" s="1"/>
  <c r="D63" i="9" s="1"/>
  <c r="D64" i="9" s="1"/>
  <c r="D65" i="9" s="1"/>
  <c r="D66" i="9" s="1"/>
  <c r="D67" i="9" s="1"/>
  <c r="D68" i="9" s="1"/>
  <c r="D69" i="9" s="1"/>
  <c r="D70" i="9" s="1"/>
  <c r="D71" i="9" s="1"/>
  <c r="D72" i="9" s="1"/>
  <c r="E59" i="9" s="1"/>
  <c r="D9" i="9"/>
  <c r="D10" i="9" s="1"/>
  <c r="D11" i="9" s="1"/>
  <c r="D12" i="9" s="1"/>
  <c r="D13" i="9" s="1"/>
  <c r="D14" i="9" s="1"/>
  <c r="D15" i="9" s="1"/>
  <c r="D16" i="9" s="1"/>
  <c r="D17" i="9" s="1"/>
  <c r="D18" i="9" s="1"/>
  <c r="D19" i="9" s="1"/>
  <c r="D20" i="9" s="1"/>
  <c r="D21" i="9" s="1"/>
  <c r="D22" i="9" s="1"/>
  <c r="D23" i="9" s="1"/>
  <c r="D24" i="9" s="1"/>
  <c r="D25" i="9" s="1"/>
  <c r="D26" i="9" s="1"/>
  <c r="D27" i="9" s="1"/>
  <c r="D28" i="9" s="1"/>
  <c r="D29" i="9" s="1"/>
  <c r="D30" i="9" s="1"/>
  <c r="D31" i="9" s="1"/>
  <c r="D32" i="9" s="1"/>
  <c r="D33" i="9" s="1"/>
  <c r="D34" i="9" s="1"/>
  <c r="D35" i="9" s="1"/>
  <c r="D36" i="9" s="1"/>
  <c r="D37" i="9" s="1"/>
  <c r="D38" i="9" s="1"/>
  <c r="D39" i="9" s="1"/>
  <c r="D40" i="9" s="1"/>
  <c r="D41" i="9" s="1"/>
  <c r="D42" i="9" s="1"/>
  <c r="E29" i="9" s="1"/>
  <c r="C43" i="9"/>
  <c r="C22" i="2"/>
  <c r="C21" i="2"/>
  <c r="C20" i="2"/>
  <c r="C10" i="2"/>
  <c r="D11" i="2"/>
  <c r="D12" i="2"/>
  <c r="D10" i="2"/>
  <c r="D13" i="2"/>
  <c r="D14" i="2"/>
  <c r="F10" i="2"/>
  <c r="F11" i="2"/>
  <c r="F12" i="2"/>
  <c r="F13" i="2"/>
  <c r="F14" i="2"/>
  <c r="E14" i="2"/>
  <c r="E13" i="2"/>
  <c r="E12" i="2"/>
  <c r="E11" i="2"/>
  <c r="E10" i="2"/>
  <c r="C14" i="2"/>
  <c r="C13" i="2"/>
  <c r="C12" i="2"/>
  <c r="C11" i="2"/>
  <c r="I9" i="1"/>
  <c r="I10" i="1"/>
  <c r="I25" i="1"/>
  <c r="I26" i="1"/>
  <c r="I31" i="1"/>
  <c r="I57" i="1"/>
  <c r="I71" i="1"/>
  <c r="I73" i="1"/>
  <c r="I74" i="1"/>
  <c r="I89" i="1"/>
  <c r="I137" i="1"/>
  <c r="H3" i="1"/>
  <c r="I3" i="1" s="1"/>
  <c r="H4" i="1"/>
  <c r="I4" i="1" s="1"/>
  <c r="H5" i="1"/>
  <c r="I5" i="1" s="1"/>
  <c r="H6" i="1"/>
  <c r="I6" i="1" s="1"/>
  <c r="H7" i="1"/>
  <c r="I7" i="1" s="1"/>
  <c r="H8" i="1"/>
  <c r="I8" i="1" s="1"/>
  <c r="H9" i="1"/>
  <c r="H10" i="1"/>
  <c r="H11" i="1"/>
  <c r="I11" i="1" s="1"/>
  <c r="H12" i="1"/>
  <c r="I12" i="1" s="1"/>
  <c r="H13" i="1"/>
  <c r="I13" i="1" s="1"/>
  <c r="H14" i="1"/>
  <c r="I14" i="1" s="1"/>
  <c r="H15" i="1"/>
  <c r="I15" i="1" s="1"/>
  <c r="H16" i="1"/>
  <c r="I16" i="1" s="1"/>
  <c r="H17" i="1"/>
  <c r="I17" i="1" s="1"/>
  <c r="H18" i="1"/>
  <c r="I18" i="1" s="1"/>
  <c r="H19" i="1"/>
  <c r="I19" i="1" s="1"/>
  <c r="H20" i="1"/>
  <c r="H21" i="1"/>
  <c r="I21" i="1" s="1"/>
  <c r="H22" i="1"/>
  <c r="I22" i="1" s="1"/>
  <c r="H23" i="1"/>
  <c r="I23" i="1" s="1"/>
  <c r="H24" i="1"/>
  <c r="I24" i="1" s="1"/>
  <c r="H25" i="1"/>
  <c r="H26" i="1"/>
  <c r="H27" i="1"/>
  <c r="I27" i="1" s="1"/>
  <c r="H28" i="1"/>
  <c r="I28" i="1" s="1"/>
  <c r="H29" i="1"/>
  <c r="I29" i="1" s="1"/>
  <c r="H30" i="1"/>
  <c r="I30" i="1" s="1"/>
  <c r="H31" i="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H72" i="1"/>
  <c r="I72" i="1" s="1"/>
  <c r="H73" i="1"/>
  <c r="H74" i="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2" i="1"/>
  <c r="D213" i="9" l="1"/>
  <c r="D214" i="9"/>
  <c r="E86" i="9"/>
  <c r="F86" i="9" s="1"/>
  <c r="E126" i="9"/>
  <c r="E95" i="9"/>
  <c r="E92" i="9"/>
  <c r="E87" i="9"/>
  <c r="E112" i="9"/>
  <c r="E90" i="9"/>
  <c r="E120" i="9"/>
  <c r="E113" i="9"/>
  <c r="E155" i="9"/>
  <c r="E143" i="9"/>
  <c r="E147" i="9"/>
  <c r="E158" i="9"/>
  <c r="E139" i="9"/>
  <c r="E149" i="9"/>
  <c r="E154" i="9"/>
  <c r="E141" i="9"/>
  <c r="E146" i="9"/>
  <c r="E152" i="9"/>
  <c r="E137" i="9"/>
  <c r="F137" i="9" s="1"/>
  <c r="E144" i="9"/>
  <c r="E96" i="9"/>
  <c r="E110" i="9"/>
  <c r="E88" i="9"/>
  <c r="E93" i="9"/>
  <c r="E100" i="9"/>
  <c r="E115" i="9"/>
  <c r="E111" i="9"/>
  <c r="E107" i="9"/>
  <c r="E148" i="9"/>
  <c r="E153" i="9"/>
  <c r="E142" i="9"/>
  <c r="E125" i="9"/>
  <c r="E105" i="9"/>
  <c r="E104" i="9"/>
  <c r="E123" i="9"/>
  <c r="E118" i="9"/>
  <c r="E117" i="9"/>
  <c r="E97" i="9"/>
  <c r="E99" i="9"/>
  <c r="E109" i="9"/>
  <c r="E89" i="9"/>
  <c r="E106" i="9"/>
  <c r="E102" i="9"/>
  <c r="E124" i="9"/>
  <c r="E108" i="9"/>
  <c r="E127" i="9"/>
  <c r="E116" i="9"/>
  <c r="E156" i="9"/>
  <c r="E138" i="9"/>
  <c r="F138" i="9" s="1"/>
  <c r="F139" i="9" s="1"/>
  <c r="F140" i="9" s="1"/>
  <c r="F141" i="9" s="1"/>
  <c r="F142" i="9" s="1"/>
  <c r="F143" i="9" s="1"/>
  <c r="F144" i="9" s="1"/>
  <c r="F145" i="9" s="1"/>
  <c r="F146" i="9" s="1"/>
  <c r="F147" i="9" s="1"/>
  <c r="F148" i="9" s="1"/>
  <c r="F149" i="9" s="1"/>
  <c r="F150" i="9" s="1"/>
  <c r="F151" i="9" s="1"/>
  <c r="F152" i="9" s="1"/>
  <c r="F153" i="9" s="1"/>
  <c r="F154" i="9" s="1"/>
  <c r="F155" i="9" s="1"/>
  <c r="F156" i="9" s="1"/>
  <c r="F157" i="9" s="1"/>
  <c r="F158" i="9" s="1"/>
  <c r="E150" i="9"/>
  <c r="E114" i="9"/>
  <c r="E98" i="9"/>
  <c r="E103" i="9"/>
  <c r="E122" i="9"/>
  <c r="E140" i="9"/>
  <c r="E145" i="9"/>
  <c r="E50" i="9"/>
  <c r="F50" i="9" s="1"/>
  <c r="E121" i="9"/>
  <c r="E128" i="9"/>
  <c r="E91" i="9"/>
  <c r="E119" i="9"/>
  <c r="E94" i="9"/>
  <c r="E101" i="9"/>
  <c r="F87" i="9"/>
  <c r="F88" i="9" s="1"/>
  <c r="E71" i="9"/>
  <c r="E65" i="9"/>
  <c r="E8" i="9"/>
  <c r="E53" i="9"/>
  <c r="E66" i="9"/>
  <c r="E69" i="9"/>
  <c r="E52" i="9"/>
  <c r="E54" i="9"/>
  <c r="E67" i="9"/>
  <c r="E62" i="9"/>
  <c r="E51" i="9"/>
  <c r="E55" i="9"/>
  <c r="E60" i="9"/>
  <c r="E70" i="9"/>
  <c r="E56" i="9"/>
  <c r="E64" i="9"/>
  <c r="E72" i="9"/>
  <c r="E63" i="9"/>
  <c r="E58" i="9"/>
  <c r="E61" i="9"/>
  <c r="E57" i="9"/>
  <c r="E68" i="9"/>
  <c r="E39" i="9"/>
  <c r="E31" i="9"/>
  <c r="E12" i="9"/>
  <c r="E15" i="9"/>
  <c r="E27" i="9"/>
  <c r="E22" i="9"/>
  <c r="E32" i="9"/>
  <c r="E9" i="9"/>
  <c r="E25" i="9"/>
  <c r="E41" i="9"/>
  <c r="E18" i="9"/>
  <c r="E34" i="9"/>
  <c r="E42" i="9"/>
  <c r="E16" i="9"/>
  <c r="E24" i="9"/>
  <c r="E40" i="9"/>
  <c r="E17" i="9"/>
  <c r="E33" i="9"/>
  <c r="E26" i="9"/>
  <c r="E35" i="9"/>
  <c r="E19" i="9"/>
  <c r="E37" i="9"/>
  <c r="E21" i="9"/>
  <c r="E14" i="9"/>
  <c r="E11" i="9"/>
  <c r="E13" i="9"/>
  <c r="E28" i="9"/>
  <c r="E23" i="9"/>
  <c r="E30" i="9"/>
  <c r="E38" i="9"/>
  <c r="E10" i="9"/>
  <c r="E36" i="9"/>
  <c r="E20" i="9"/>
  <c r="E20" i="2"/>
  <c r="E21" i="2"/>
  <c r="E22" i="2"/>
  <c r="F89" i="9" l="1"/>
  <c r="F90" i="9" s="1"/>
  <c r="F91" i="9"/>
  <c r="F92" i="9" s="1"/>
  <c r="F93" i="9" s="1"/>
  <c r="F94" i="9" s="1"/>
  <c r="F95" i="9" s="1"/>
  <c r="F96" i="9" s="1"/>
  <c r="F97" i="9" s="1"/>
  <c r="F98" i="9" s="1"/>
  <c r="F99" i="9" s="1"/>
  <c r="F100" i="9" s="1"/>
  <c r="F101" i="9" s="1"/>
  <c r="F102" i="9" s="1"/>
  <c r="F103" i="9" s="1"/>
  <c r="F104" i="9" s="1"/>
  <c r="F105" i="9" s="1"/>
  <c r="F106" i="9" s="1"/>
  <c r="F107" i="9" s="1"/>
  <c r="F108" i="9" s="1"/>
  <c r="F109" i="9" s="1"/>
  <c r="F110" i="9" s="1"/>
  <c r="F111" i="9" s="1"/>
  <c r="F112" i="9" s="1"/>
  <c r="F113" i="9" s="1"/>
  <c r="F114" i="9" s="1"/>
  <c r="F115" i="9" s="1"/>
  <c r="F116" i="9" s="1"/>
  <c r="F117" i="9" s="1"/>
  <c r="F118" i="9" s="1"/>
  <c r="F119" i="9" s="1"/>
  <c r="F120" i="9" s="1"/>
  <c r="F121" i="9" s="1"/>
  <c r="F122" i="9" s="1"/>
  <c r="F123" i="9" s="1"/>
  <c r="F124" i="9" s="1"/>
  <c r="F125" i="9" s="1"/>
  <c r="F126" i="9" s="1"/>
  <c r="F127" i="9" s="1"/>
  <c r="F128" i="9" s="1"/>
  <c r="F51" i="9"/>
  <c r="F52" i="9" s="1"/>
  <c r="F53" i="9" s="1"/>
  <c r="F54" i="9" s="1"/>
  <c r="F55" i="9" s="1"/>
  <c r="F56" i="9" s="1"/>
  <c r="F57" i="9" s="1"/>
  <c r="F58" i="9" s="1"/>
  <c r="F59" i="9" s="1"/>
  <c r="F60" i="9" s="1"/>
  <c r="F61" i="9" s="1"/>
  <c r="F62" i="9" s="1"/>
  <c r="F63" i="9" s="1"/>
  <c r="F64" i="9" s="1"/>
  <c r="F65" i="9" s="1"/>
  <c r="F66" i="9" s="1"/>
  <c r="F67" i="9" s="1"/>
  <c r="F68" i="9" s="1"/>
  <c r="F69" i="9" s="1"/>
  <c r="F70" i="9" s="1"/>
  <c r="F71" i="9" s="1"/>
  <c r="F72" i="9" s="1"/>
  <c r="E43" i="9"/>
  <c r="F8" i="9"/>
  <c r="F9" i="9" s="1"/>
  <c r="F10" i="9" s="1"/>
  <c r="F11" i="9" s="1"/>
  <c r="F12" i="9" s="1"/>
  <c r="F13" i="9" s="1"/>
  <c r="F14" i="9" s="1"/>
  <c r="F15" i="9" s="1"/>
  <c r="F16" i="9" s="1"/>
  <c r="F17" i="9" s="1"/>
  <c r="F18" i="9" l="1"/>
  <c r="F19" i="9" s="1"/>
  <c r="F20" i="9" s="1"/>
  <c r="F21" i="9" s="1"/>
  <c r="F22" i="9" s="1"/>
  <c r="F23" i="9" s="1"/>
  <c r="F24" i="9" s="1"/>
  <c r="F25" i="9" s="1"/>
  <c r="F26" i="9" s="1"/>
  <c r="F27" i="9" s="1"/>
  <c r="F28" i="9" s="1"/>
  <c r="F29" i="9" s="1"/>
  <c r="F30" i="9" s="1"/>
  <c r="F31" i="9" s="1"/>
  <c r="F32" i="9" s="1"/>
  <c r="F33" i="9" s="1"/>
  <c r="F34" i="9" s="1"/>
  <c r="F35" i="9" s="1"/>
  <c r="F36" i="9" s="1"/>
  <c r="F37" i="9" s="1"/>
  <c r="F38" i="9" s="1"/>
  <c r="F39" i="9" s="1"/>
  <c r="F40" i="9" s="1"/>
  <c r="F41" i="9" s="1"/>
  <c r="F42" i="9" s="1"/>
</calcChain>
</file>

<file path=xl/sharedStrings.xml><?xml version="1.0" encoding="utf-8"?>
<sst xmlns="http://schemas.openxmlformats.org/spreadsheetml/2006/main" count="276" uniqueCount="69">
  <si>
    <t>Iris-setosa</t>
  </si>
  <si>
    <t>Iris-versicolor</t>
  </si>
  <si>
    <t>Iris-virginica</t>
  </si>
  <si>
    <t>Id</t>
  </si>
  <si>
    <t>SepalLengthCm</t>
  </si>
  <si>
    <t>SepalWidthCm</t>
  </si>
  <si>
    <t>PetalLengthCm</t>
  </si>
  <si>
    <t>PetalWidthCm</t>
  </si>
  <si>
    <t>Species</t>
  </si>
  <si>
    <t>size_sepal</t>
  </si>
  <si>
    <t>size_petal</t>
  </si>
  <si>
    <t>size_petal_catégorie</t>
  </si>
  <si>
    <t>ANALYSE DES DONNEES</t>
  </si>
  <si>
    <t>Analyse Exploratoire des données</t>
  </si>
  <si>
    <t>Propriété Générale des données</t>
  </si>
  <si>
    <t>Moyenne</t>
  </si>
  <si>
    <t>Minimum</t>
  </si>
  <si>
    <t>Maximum</t>
  </si>
  <si>
    <t>Nombre_total</t>
  </si>
  <si>
    <t>Ecart_type</t>
  </si>
  <si>
    <t>SepallengthCm</t>
  </si>
  <si>
    <t>SepalwidthCm</t>
  </si>
  <si>
    <t xml:space="preserve">données Quantitatives </t>
  </si>
  <si>
    <t xml:space="preserve">Données Quantitatives </t>
  </si>
  <si>
    <t>Catégorie</t>
  </si>
  <si>
    <t>Petite</t>
  </si>
  <si>
    <t>nombre_Petite</t>
  </si>
  <si>
    <t>Nombre_Moyenne</t>
  </si>
  <si>
    <t xml:space="preserve">Nombre_grande </t>
  </si>
  <si>
    <t>Nombre_Iris-setosa</t>
  </si>
  <si>
    <t>Nombre_Iris-versicolor</t>
  </si>
  <si>
    <t>Nombre_Iris-virginica</t>
  </si>
  <si>
    <t xml:space="preserve">Visualisation de chaque variable </t>
  </si>
  <si>
    <t>Étiquettes de lignes</t>
  </si>
  <si>
    <t>Total général</t>
  </si>
  <si>
    <t>Grande</t>
  </si>
  <si>
    <t>Nombre de Id</t>
  </si>
  <si>
    <t>Moyenne de SepalLengthCm</t>
  </si>
  <si>
    <t>Moyenne de SepalWidthCm</t>
  </si>
  <si>
    <t xml:space="preserve"> Objectif : savoir combien de fleurs sont dans chaque catégorie.</t>
  </si>
  <si>
    <t>Objectif : comparer les dimensions moyennes entre espèces</t>
  </si>
  <si>
    <t>Étiquettes de colonnes</t>
  </si>
  <si>
    <t>Voir comment chaque espèce est répartie selon la taille des pétales.</t>
  </si>
  <si>
    <t>Moyenne de PetalLengthCm</t>
  </si>
  <si>
    <t>Visualiser la relation entre taille catégorique et longueur réelle.</t>
  </si>
  <si>
    <t>Analyse des variables Quantitative</t>
  </si>
  <si>
    <t>Visualisation SepalLengthCm</t>
  </si>
  <si>
    <t>ni</t>
  </si>
  <si>
    <t>Ni</t>
  </si>
  <si>
    <t>fi(%)</t>
  </si>
  <si>
    <t>Fi(%)</t>
  </si>
  <si>
    <t>Total</t>
  </si>
  <si>
    <t>Visualisation de la largeur des sépales</t>
  </si>
  <si>
    <t xml:space="preserve">Longueur des pétalales </t>
  </si>
  <si>
    <t>Largeur des pétales</t>
  </si>
  <si>
    <t xml:space="preserve">Analyse des variables Qualitatives </t>
  </si>
  <si>
    <t>Especes</t>
  </si>
  <si>
    <t>Effectifs</t>
  </si>
  <si>
    <t>Fréquences (%)</t>
  </si>
  <si>
    <t>Tailles des pétales</t>
  </si>
  <si>
    <t>Taille des pétales</t>
  </si>
  <si>
    <t>Frequence(%)</t>
  </si>
  <si>
    <t>deux Variables quantitatives</t>
  </si>
  <si>
    <t>Longueur des sépales et la largeur des sépales</t>
  </si>
  <si>
    <t>Nuage de  points</t>
  </si>
  <si>
    <t>Corrélation de peason</t>
  </si>
  <si>
    <t>r =corr(X,Y) = cov(X,Y)/σXσY</t>
  </si>
  <si>
    <t xml:space="preserve"> ICI nous obtenons très  faible corrélation négative  cela signifie que  Les points sont très dispersés, Mais d'après notre nuage de points nous constatons que les point sont plutôt proches donc nous pouvons conclure  qu'il y'a un lien entre les largeurs et les longueurs des sépales mais ce lien  n'est pas linéaire  </t>
  </si>
  <si>
    <t>Colonne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</si>
</sst>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Red]0.00"/>
    <numFmt numFmtId="165" formatCode="0;[Red]0"/>
  </numFmts>
  <fonts count="14" x14ac:knownFonts="1">
    <font>
      <sz val="11"/>
      <color theme="1"/>
      <name val="Calibri"/>
      <family val="2"/>
      <scheme val="minor"/>
    </font>
    <font>
      <b/>
      <sz val="11"/>
      <name val="Calibri"/>
    </font>
    <font>
      <b/>
      <sz val="11"/>
      <color theme="1"/>
      <name val="Calibri"/>
      <family val="2"/>
      <scheme val="minor"/>
    </font>
    <font>
      <b/>
      <sz val="12"/>
      <color theme="1"/>
      <name val="Times New Roman"/>
      <family val="1"/>
    </font>
    <font>
      <b/>
      <sz val="14"/>
      <color theme="1"/>
      <name val="Times New Roman"/>
      <family val="1"/>
    </font>
    <font>
      <sz val="16"/>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12"/>
      <color theme="1"/>
      <name val="Calibri"/>
      <family val="2"/>
      <scheme val="minor"/>
    </font>
    <font>
      <sz val="11"/>
      <color theme="0"/>
      <name val="Calibri"/>
      <family val="2"/>
      <scheme val="minor"/>
    </font>
    <font>
      <sz val="11"/>
      <color rgb="FF000000"/>
      <name val="Calibri"/>
      <family val="2"/>
      <scheme val="minor"/>
    </font>
    <font>
      <sz val="14"/>
      <color theme="1"/>
      <name val="Calibri"/>
      <family val="2"/>
      <scheme val="minor"/>
    </font>
    <font>
      <i/>
      <sz val="11"/>
      <color theme="1"/>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6"/>
        <bgColor indexed="64"/>
      </patternFill>
    </fill>
    <fill>
      <patternFill patternType="solid">
        <fgColor theme="6" tint="0.79998168889431442"/>
        <bgColor indexed="64"/>
      </patternFill>
    </fill>
    <fill>
      <patternFill patternType="solid">
        <fgColor theme="1"/>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2"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horizontal="center"/>
    </xf>
    <xf numFmtId="0" fontId="6" fillId="0" borderId="0" xfId="0" applyFont="1"/>
    <xf numFmtId="0" fontId="6" fillId="3" borderId="0" xfId="0" applyFont="1" applyFill="1"/>
    <xf numFmtId="0" fontId="4" fillId="3" borderId="0" xfId="0" applyFont="1" applyFill="1"/>
    <xf numFmtId="0" fontId="3" fillId="4" borderId="0" xfId="0" applyFont="1" applyFill="1"/>
    <xf numFmtId="49" fontId="0" fillId="0" borderId="0" xfId="0" applyNumberFormat="1"/>
    <xf numFmtId="0" fontId="0" fillId="5" borderId="0" xfId="0" applyFill="1"/>
    <xf numFmtId="0" fontId="6" fillId="6" borderId="0" xfId="0" applyFont="1" applyFill="1"/>
    <xf numFmtId="0" fontId="2" fillId="7" borderId="0" xfId="0" applyFont="1" applyFill="1"/>
    <xf numFmtId="0" fontId="6" fillId="7" borderId="0" xfId="0" applyFont="1" applyFill="1"/>
    <xf numFmtId="0" fontId="0" fillId="6" borderId="0" xfId="0" applyFill="1"/>
    <xf numFmtId="0" fontId="0" fillId="0" borderId="0" xfId="0" applyAlignment="1">
      <alignment horizontal="left"/>
    </xf>
    <xf numFmtId="0" fontId="9" fillId="0" borderId="0" xfId="0" applyFont="1" applyAlignment="1">
      <alignment horizontal="left"/>
    </xf>
    <xf numFmtId="0" fontId="0" fillId="0" borderId="0" xfId="0" applyAlignment="1">
      <alignment wrapText="1"/>
    </xf>
    <xf numFmtId="0" fontId="0" fillId="0" borderId="0" xfId="0" applyAlignment="1"/>
    <xf numFmtId="0" fontId="0" fillId="0" borderId="0" xfId="0" applyNumberFormat="1"/>
    <xf numFmtId="0" fontId="0" fillId="0" borderId="0" xfId="0" pivotButton="1"/>
    <xf numFmtId="0" fontId="8" fillId="0" borderId="0" xfId="0" applyFont="1" applyAlignment="1">
      <alignment horizontal="center"/>
    </xf>
    <xf numFmtId="0" fontId="0" fillId="0" borderId="0" xfId="0" applyAlignment="1">
      <alignment horizontal="center"/>
    </xf>
    <xf numFmtId="0" fontId="0" fillId="2" borderId="0" xfId="0" applyFont="1" applyFill="1" applyAlignment="1">
      <alignment horizontal="center"/>
    </xf>
    <xf numFmtId="0" fontId="7" fillId="7" borderId="0" xfId="0" applyFont="1" applyFill="1" applyAlignment="1">
      <alignment horizontal="center"/>
    </xf>
    <xf numFmtId="0" fontId="0" fillId="7" borderId="0" xfId="0" applyFill="1" applyAlignment="1">
      <alignment horizontal="center"/>
    </xf>
    <xf numFmtId="0" fontId="5" fillId="7" borderId="0" xfId="0" applyFont="1" applyFill="1" applyAlignment="1">
      <alignment horizontal="center"/>
    </xf>
    <xf numFmtId="0" fontId="0" fillId="2"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164" fontId="0" fillId="0" borderId="0" xfId="0" applyNumberFormat="1"/>
    <xf numFmtId="165" fontId="0" fillId="0" borderId="0" xfId="0" applyNumberFormat="1"/>
    <xf numFmtId="0" fontId="0" fillId="9" borderId="0" xfId="0" applyFill="1"/>
    <xf numFmtId="165" fontId="0" fillId="9" borderId="0" xfId="0" applyNumberFormat="1" applyFill="1"/>
    <xf numFmtId="164" fontId="0" fillId="9" borderId="0" xfId="0" applyNumberFormat="1" applyFill="1"/>
    <xf numFmtId="0" fontId="0" fillId="9" borderId="0" xfId="0" applyFill="1" applyAlignment="1"/>
    <xf numFmtId="0" fontId="11" fillId="9" borderId="0" xfId="0" applyFont="1" applyFill="1" applyAlignment="1">
      <alignment horizontal="left" vertical="center" readingOrder="1"/>
    </xf>
    <xf numFmtId="0" fontId="2" fillId="12" borderId="0" xfId="0" applyFont="1" applyFill="1" applyAlignment="1">
      <alignment horizontal="center"/>
    </xf>
    <xf numFmtId="0" fontId="6" fillId="6" borderId="0" xfId="0" applyFont="1" applyFill="1" applyAlignment="1">
      <alignment horizontal="center"/>
    </xf>
    <xf numFmtId="0" fontId="6" fillId="11" borderId="0" xfId="0" applyFont="1" applyFill="1" applyAlignment="1">
      <alignment horizontal="center"/>
    </xf>
    <xf numFmtId="49" fontId="0" fillId="9" borderId="0" xfId="0" applyNumberFormat="1" applyFill="1"/>
    <xf numFmtId="0" fontId="6" fillId="10" borderId="0" xfId="0" applyFont="1" applyFill="1" applyAlignment="1">
      <alignment horizontal="center"/>
    </xf>
    <xf numFmtId="0" fontId="12" fillId="10" borderId="0" xfId="0" applyFont="1" applyFill="1" applyAlignment="1">
      <alignment horizontal="center"/>
    </xf>
    <xf numFmtId="0" fontId="7" fillId="0" borderId="0" xfId="0" applyFont="1"/>
    <xf numFmtId="0" fontId="6" fillId="7" borderId="0" xfId="0" applyFont="1" applyFill="1" applyAlignment="1">
      <alignment horizontal="center"/>
    </xf>
    <xf numFmtId="0" fontId="10" fillId="8" borderId="0" xfId="0" applyFont="1" applyFill="1" applyAlignment="1">
      <alignment horizontal="center"/>
    </xf>
    <xf numFmtId="0" fontId="12" fillId="0" borderId="0" xfId="0" applyFont="1" applyAlignment="1">
      <alignment horizontal="center" wrapText="1"/>
    </xf>
    <xf numFmtId="0" fontId="9" fillId="0" borderId="0" xfId="0" applyFont="1" applyAlignment="1">
      <alignment wrapText="1"/>
    </xf>
    <xf numFmtId="0" fontId="0" fillId="0" borderId="2" xfId="0" applyFill="1" applyBorder="1" applyAlignment="1"/>
    <xf numFmtId="0" fontId="13" fillId="0" borderId="3"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[fichier_converti.xlsx]Feuil3!Tableau croisé dynamique2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Moyenne des SépalLengthCm selon l’espèce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Feuil3!$A$4:$A$7</c:f>
              <c:strCache>
                <c:ptCount val="3"/>
                <c:pt idx="0">
                  <c:v>Iris-setosa</c:v>
                </c:pt>
                <c:pt idx="1">
                  <c:v>Iris-versicolor</c:v>
                </c:pt>
                <c:pt idx="2">
                  <c:v>Iris-virginica</c:v>
                </c:pt>
              </c:strCache>
            </c:strRef>
          </c:cat>
          <c:val>
            <c:numRef>
              <c:f>Feuil3!$B$4:$B$7</c:f>
              <c:numCache>
                <c:formatCode>General</c:formatCode>
                <c:ptCount val="3"/>
                <c:pt idx="0">
                  <c:v>5.0059999999999993</c:v>
                </c:pt>
                <c:pt idx="1">
                  <c:v>5.9359999999999999</c:v>
                </c:pt>
                <c:pt idx="2">
                  <c:v>6.5879999999999983</c:v>
                </c:pt>
              </c:numCache>
            </c:numRef>
          </c:val>
          <c:extLst>
            <c:ext xmlns:c16="http://schemas.microsoft.com/office/drawing/2014/chart" uri="{C3380CC4-5D6E-409C-BE32-E72D297353CC}">
              <c16:uniqueId val="{00000000-0757-456A-98C0-EAFBC7828498}"/>
            </c:ext>
          </c:extLst>
        </c:ser>
        <c:dLbls>
          <c:dLblPos val="inEnd"/>
          <c:showLegendKey val="0"/>
          <c:showVal val="1"/>
          <c:showCatName val="0"/>
          <c:showSerName val="0"/>
          <c:showPercent val="0"/>
          <c:showBubbleSize val="0"/>
        </c:dLbls>
        <c:gapWidth val="65"/>
        <c:axId val="370166848"/>
        <c:axId val="370167176"/>
      </c:barChart>
      <c:catAx>
        <c:axId val="370166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espèce</a:t>
                </a:r>
              </a:p>
              <a:p>
                <a:pPr>
                  <a:defRPr/>
                </a:pPr>
                <a:endParaRPr lang="fr-F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370167176"/>
        <c:crosses val="autoZero"/>
        <c:auto val="1"/>
        <c:lblAlgn val="ctr"/>
        <c:lblOffset val="100"/>
        <c:noMultiLvlLbl val="0"/>
      </c:catAx>
      <c:valAx>
        <c:axId val="3701671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moyenne</a:t>
                </a:r>
                <a:r>
                  <a:rPr lang="fr-FR" baseline="0"/>
                  <a:t> sépallength</a:t>
                </a:r>
              </a:p>
              <a:p>
                <a:pPr>
                  <a:defRPr/>
                </a:pPr>
                <a:endParaRPr lang="fr-F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3701668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[fichier_converti.xlsx]Feuil4!Tableau croisé dynamique4</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t>Moyenne</a:t>
            </a:r>
            <a:r>
              <a:rPr lang="en-US" sz="1400" baseline="0"/>
              <a:t> sepalWidthCm et Species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Feuil4!$B$3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Feuil4!$A$4:$A$7</c:f>
              <c:strCache>
                <c:ptCount val="3"/>
                <c:pt idx="0">
                  <c:v>Iris-setosa</c:v>
                </c:pt>
                <c:pt idx="1">
                  <c:v>Iris-versicolor</c:v>
                </c:pt>
                <c:pt idx="2">
                  <c:v>Iris-virginica</c:v>
                </c:pt>
              </c:strCache>
            </c:strRef>
          </c:cat>
          <c:val>
            <c:numRef>
              <c:f>Feuil4!$B$4:$B$7</c:f>
              <c:numCache>
                <c:formatCode>General</c:formatCode>
                <c:ptCount val="3"/>
                <c:pt idx="0">
                  <c:v>3.4180000000000006</c:v>
                </c:pt>
                <c:pt idx="1">
                  <c:v>2.7700000000000005</c:v>
                </c:pt>
                <c:pt idx="2">
                  <c:v>2.9739999999999998</c:v>
                </c:pt>
              </c:numCache>
            </c:numRef>
          </c:val>
          <c:extLst>
            <c:ext xmlns:c16="http://schemas.microsoft.com/office/drawing/2014/chart" uri="{C3380CC4-5D6E-409C-BE32-E72D297353CC}">
              <c16:uniqueId val="{00000000-25E8-4A3F-840C-BC50DB9D507F}"/>
            </c:ext>
          </c:extLst>
        </c:ser>
        <c:dLbls>
          <c:dLblPos val="inEnd"/>
          <c:showLegendKey val="0"/>
          <c:showVal val="1"/>
          <c:showCatName val="0"/>
          <c:showSerName val="0"/>
          <c:showPercent val="0"/>
          <c:showBubbleSize val="0"/>
        </c:dLbls>
        <c:gapWidth val="41"/>
        <c:axId val="515772064"/>
        <c:axId val="515773048"/>
      </c:barChart>
      <c:catAx>
        <c:axId val="5157720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fr-FR"/>
                  <a:t>Species</a:t>
                </a:r>
              </a:p>
              <a:p>
                <a:pPr>
                  <a:defRPr/>
                </a:pPr>
                <a:endParaRPr lang="fr-F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515773048"/>
        <c:crosses val="autoZero"/>
        <c:auto val="1"/>
        <c:lblAlgn val="ctr"/>
        <c:lblOffset val="100"/>
        <c:noMultiLvlLbl val="0"/>
      </c:catAx>
      <c:valAx>
        <c:axId val="51577304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fr-FR"/>
                  <a:t>Moyenne</a:t>
                </a:r>
                <a:r>
                  <a:rPr lang="fr-FR" baseline="0"/>
                  <a:t> SepalWidthCm</a:t>
                </a:r>
              </a:p>
              <a:p>
                <a:pPr>
                  <a:defRPr/>
                </a:pPr>
                <a:endParaRPr lang="fr-F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fr-FR"/>
            </a:p>
          </c:txPr>
        </c:title>
        <c:numFmt formatCode="General" sourceLinked="1"/>
        <c:majorTickMark val="none"/>
        <c:minorTickMark val="none"/>
        <c:tickLblPos val="nextTo"/>
        <c:crossAx val="51577206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[fichier_converti.xlsx]Feuil5!Tableau croisé dynamique6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Répartition par catégorie de taille de pétale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Feuil5!$B$3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60-4E3E-BAB5-C66A484690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60-4E3E-BAB5-C66A484690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60-4E3E-BAB5-C66A484690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Feuil5!$A$4:$A$7</c:f>
              <c:strCache>
                <c:ptCount val="3"/>
                <c:pt idx="0">
                  <c:v>Grande</c:v>
                </c:pt>
                <c:pt idx="1">
                  <c:v>Moyenne</c:v>
                </c:pt>
                <c:pt idx="2">
                  <c:v>Petite</c:v>
                </c:pt>
              </c:strCache>
            </c:strRef>
          </c:cat>
          <c:val>
            <c:numRef>
              <c:f>Feuil5!$B$4:$B$7</c:f>
              <c:numCache>
                <c:formatCode>General</c:formatCode>
                <c:ptCount val="3"/>
                <c:pt idx="0">
                  <c:v>87</c:v>
                </c:pt>
                <c:pt idx="1">
                  <c:v>13</c:v>
                </c:pt>
                <c:pt idx="2">
                  <c:v>50</c:v>
                </c:pt>
              </c:numCache>
            </c:numRef>
          </c:val>
          <c:extLst>
            <c:ext xmlns:c16="http://schemas.microsoft.com/office/drawing/2014/chart" uri="{C3380CC4-5D6E-409C-BE32-E72D297353CC}">
              <c16:uniqueId val="{00000000-7384-401F-BBDB-8D7C5C69A4F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[fichier_converti.xlsx]Feuil6!Tableau croisé dynamique8</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 </a:t>
            </a:r>
            <a:r>
              <a:rPr lang="fr-FR" sz="1600"/>
              <a:t>Croisement Species × Catégorie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Feuil6!$B$3:$B$4</c:f>
              <c:strCache>
                <c:ptCount val="1"/>
                <c:pt idx="0">
                  <c:v>Grande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Feuil6!$A$5:$A$8</c:f>
              <c:strCache>
                <c:ptCount val="3"/>
                <c:pt idx="0">
                  <c:v>Iris-setosa</c:v>
                </c:pt>
                <c:pt idx="1">
                  <c:v>Iris-versicolor</c:v>
                </c:pt>
                <c:pt idx="2">
                  <c:v>Iris-virginica</c:v>
                </c:pt>
              </c:strCache>
            </c:strRef>
          </c:cat>
          <c:val>
            <c:numRef>
              <c:f>Feuil6!$B$5:$B$8</c:f>
              <c:numCache>
                <c:formatCode>General</c:formatCode>
                <c:ptCount val="3"/>
                <c:pt idx="1">
                  <c:v>37</c:v>
                </c:pt>
                <c:pt idx="2">
                  <c:v>50</c:v>
                </c:pt>
              </c:numCache>
            </c:numRef>
          </c:val>
          <c:extLst>
            <c:ext xmlns:c16="http://schemas.microsoft.com/office/drawing/2014/chart" uri="{C3380CC4-5D6E-409C-BE32-E72D297353CC}">
              <c16:uniqueId val="{00000000-3526-46C9-BE99-E70EBBA42381}"/>
            </c:ext>
          </c:extLst>
        </c:ser>
        <c:ser>
          <c:idx val="1"/>
          <c:order val="1"/>
          <c:tx>
            <c:strRef>
              <c:f>Feuil6!$C$3:$C$4</c:f>
              <c:strCache>
                <c:ptCount val="1"/>
                <c:pt idx="0">
                  <c:v>Moyenne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Feuil6!$A$5:$A$8</c:f>
              <c:strCache>
                <c:ptCount val="3"/>
                <c:pt idx="0">
                  <c:v>Iris-setosa</c:v>
                </c:pt>
                <c:pt idx="1">
                  <c:v>Iris-versicolor</c:v>
                </c:pt>
                <c:pt idx="2">
                  <c:v>Iris-virginica</c:v>
                </c:pt>
              </c:strCache>
            </c:strRef>
          </c:cat>
          <c:val>
            <c:numRef>
              <c:f>Feuil6!$C$5:$C$8</c:f>
              <c:numCache>
                <c:formatCode>General</c:formatCode>
                <c:ptCount val="3"/>
                <c:pt idx="1">
                  <c:v>13</c:v>
                </c:pt>
              </c:numCache>
            </c:numRef>
          </c:val>
          <c:extLst>
            <c:ext xmlns:c16="http://schemas.microsoft.com/office/drawing/2014/chart" uri="{C3380CC4-5D6E-409C-BE32-E72D297353CC}">
              <c16:uniqueId val="{00000001-3526-46C9-BE99-E70EBBA42381}"/>
            </c:ext>
          </c:extLst>
        </c:ser>
        <c:ser>
          <c:idx val="2"/>
          <c:order val="2"/>
          <c:tx>
            <c:strRef>
              <c:f>Feuil6!$D$3:$D$4</c:f>
              <c:strCache>
                <c:ptCount val="1"/>
                <c:pt idx="0">
                  <c:v>Petite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Feuil6!$A$5:$A$8</c:f>
              <c:strCache>
                <c:ptCount val="3"/>
                <c:pt idx="0">
                  <c:v>Iris-setosa</c:v>
                </c:pt>
                <c:pt idx="1">
                  <c:v>Iris-versicolor</c:v>
                </c:pt>
                <c:pt idx="2">
                  <c:v>Iris-virginica</c:v>
                </c:pt>
              </c:strCache>
            </c:strRef>
          </c:cat>
          <c:val>
            <c:numRef>
              <c:f>Feuil6!$D$5:$D$8</c:f>
              <c:numCache>
                <c:formatCode>General</c:formatCode>
                <c:ptCount val="3"/>
                <c:pt idx="0">
                  <c:v>50</c:v>
                </c:pt>
              </c:numCache>
            </c:numRef>
          </c:val>
          <c:extLst>
            <c:ext xmlns:c16="http://schemas.microsoft.com/office/drawing/2014/chart" uri="{C3380CC4-5D6E-409C-BE32-E72D297353CC}">
              <c16:uniqueId val="{00000002-3526-46C9-BE99-E70EBBA42381}"/>
            </c:ext>
          </c:extLst>
        </c:ser>
        <c:dLbls>
          <c:dLblPos val="inEnd"/>
          <c:showLegendKey val="0"/>
          <c:showVal val="1"/>
          <c:showCatName val="0"/>
          <c:showSerName val="0"/>
          <c:showPercent val="0"/>
          <c:showBubbleSize val="0"/>
        </c:dLbls>
        <c:gapWidth val="65"/>
        <c:axId val="607965616"/>
        <c:axId val="607969224"/>
      </c:barChart>
      <c:catAx>
        <c:axId val="6079656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Especes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607969224"/>
        <c:crosses val="autoZero"/>
        <c:auto val="1"/>
        <c:lblAlgn val="ctr"/>
        <c:lblOffset val="100"/>
        <c:noMultiLvlLbl val="0"/>
      </c:catAx>
      <c:valAx>
        <c:axId val="60796922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 Nombre</a:t>
                </a:r>
                <a:r>
                  <a:rPr lang="fr-FR" baseline="0"/>
                  <a:t> d'espece</a:t>
                </a:r>
                <a:endParaRPr lang="fr-F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crossAx val="6079656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[fichier_converti.xlsx]Feuil7!Tableau croisé dynamique10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sz="1600"/>
              <a:t>Longueur moyenne des pétales selon la catégorie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Feuil7!$B$3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Feuil7!$A$4:$A$7</c:f>
              <c:strCache>
                <c:ptCount val="3"/>
                <c:pt idx="0">
                  <c:v>Grande</c:v>
                </c:pt>
                <c:pt idx="1">
                  <c:v>Moyenne</c:v>
                </c:pt>
                <c:pt idx="2">
                  <c:v>Petite</c:v>
                </c:pt>
              </c:strCache>
            </c:strRef>
          </c:cat>
          <c:val>
            <c:numRef>
              <c:f>Feuil7!$B$4:$B$7</c:f>
              <c:numCache>
                <c:formatCode>General</c:formatCode>
                <c:ptCount val="3"/>
                <c:pt idx="0">
                  <c:v>5.0919540229885056</c:v>
                </c:pt>
                <c:pt idx="1">
                  <c:v>3.661538461538461</c:v>
                </c:pt>
                <c:pt idx="2">
                  <c:v>1.464</c:v>
                </c:pt>
              </c:numCache>
            </c:numRef>
          </c:val>
          <c:extLst>
            <c:ext xmlns:c16="http://schemas.microsoft.com/office/drawing/2014/chart" uri="{C3380CC4-5D6E-409C-BE32-E72D297353CC}">
              <c16:uniqueId val="{00000000-7051-496F-ADC4-DF5D0AF5BA5A}"/>
            </c:ext>
          </c:extLst>
        </c:ser>
        <c:dLbls>
          <c:dLblPos val="inEnd"/>
          <c:showLegendKey val="0"/>
          <c:showVal val="1"/>
          <c:showCatName val="0"/>
          <c:showSerName val="0"/>
          <c:showPercent val="0"/>
          <c:showBubbleSize val="0"/>
        </c:dLbls>
        <c:gapWidth val="65"/>
        <c:axId val="315228432"/>
        <c:axId val="315222856"/>
      </c:barChart>
      <c:catAx>
        <c:axId val="3152284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size</a:t>
                </a:r>
                <a:r>
                  <a:rPr lang="fr-FR" baseline="0"/>
                  <a:t> pétales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315222856"/>
        <c:crosses val="autoZero"/>
        <c:auto val="1"/>
        <c:lblAlgn val="ctr"/>
        <c:lblOffset val="100"/>
        <c:noMultiLvlLbl val="0"/>
      </c:catAx>
      <c:valAx>
        <c:axId val="3152228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Longueur</a:t>
                </a:r>
                <a:r>
                  <a:rPr lang="fr-FR" baseline="0"/>
                  <a:t> moyenne petales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31522843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[fichier_converti.xlsx]Feuil3!Tableau croisé dynamique2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Moyenne des SépalLengthCm selon l’espèce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Feuil3!$B$3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Feuil3!$A$4:$A$7</c:f>
              <c:strCache>
                <c:ptCount val="3"/>
                <c:pt idx="0">
                  <c:v>Iris-setosa</c:v>
                </c:pt>
                <c:pt idx="1">
                  <c:v>Iris-versicolor</c:v>
                </c:pt>
                <c:pt idx="2">
                  <c:v>Iris-virginica</c:v>
                </c:pt>
              </c:strCache>
            </c:strRef>
          </c:cat>
          <c:val>
            <c:numRef>
              <c:f>Feuil3!$B$4:$B$7</c:f>
              <c:numCache>
                <c:formatCode>General</c:formatCode>
                <c:ptCount val="3"/>
                <c:pt idx="0">
                  <c:v>5.0059999999999993</c:v>
                </c:pt>
                <c:pt idx="1">
                  <c:v>5.9359999999999999</c:v>
                </c:pt>
                <c:pt idx="2">
                  <c:v>6.5879999999999983</c:v>
                </c:pt>
              </c:numCache>
            </c:numRef>
          </c:val>
          <c:extLst>
            <c:ext xmlns:c16="http://schemas.microsoft.com/office/drawing/2014/chart" uri="{C3380CC4-5D6E-409C-BE32-E72D297353CC}">
              <c16:uniqueId val="{00000002-AA1C-442F-8F32-4D38791FC8EA}"/>
            </c:ext>
          </c:extLst>
        </c:ser>
        <c:dLbls>
          <c:dLblPos val="inEnd"/>
          <c:showLegendKey val="0"/>
          <c:showVal val="1"/>
          <c:showCatName val="0"/>
          <c:showSerName val="0"/>
          <c:showPercent val="0"/>
          <c:showBubbleSize val="0"/>
        </c:dLbls>
        <c:gapWidth val="65"/>
        <c:axId val="370166848"/>
        <c:axId val="370167176"/>
      </c:barChart>
      <c:catAx>
        <c:axId val="370166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espèce</a:t>
                </a:r>
              </a:p>
              <a:p>
                <a:pPr>
                  <a:defRPr/>
                </a:pPr>
                <a:endParaRPr lang="fr-F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370167176"/>
        <c:crosses val="autoZero"/>
        <c:auto val="1"/>
        <c:lblAlgn val="ctr"/>
        <c:lblOffset val="100"/>
        <c:noMultiLvlLbl val="0"/>
      </c:catAx>
      <c:valAx>
        <c:axId val="3701671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moyenne</a:t>
                </a:r>
                <a:r>
                  <a:rPr lang="fr-FR" baseline="0"/>
                  <a:t> sépallength</a:t>
                </a:r>
              </a:p>
              <a:p>
                <a:pPr>
                  <a:defRPr/>
                </a:pPr>
                <a:endParaRPr lang="fr-F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3701668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[fichier_converti.xlsx]Feuil4!Tableau croisé dynamique4</c:name>
    <c:fmtId val="8"/>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t>Moyenne</a:t>
            </a:r>
            <a:r>
              <a:rPr lang="en-US" sz="1400" baseline="0"/>
              <a:t> sepalWidthCm et Species</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Feuil4!$B$3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Feuil4!$A$4:$A$7</c:f>
              <c:strCache>
                <c:ptCount val="3"/>
                <c:pt idx="0">
                  <c:v>Iris-setosa</c:v>
                </c:pt>
                <c:pt idx="1">
                  <c:v>Iris-versicolor</c:v>
                </c:pt>
                <c:pt idx="2">
                  <c:v>Iris-virginica</c:v>
                </c:pt>
              </c:strCache>
            </c:strRef>
          </c:cat>
          <c:val>
            <c:numRef>
              <c:f>Feuil4!$B$4:$B$7</c:f>
              <c:numCache>
                <c:formatCode>General</c:formatCode>
                <c:ptCount val="3"/>
                <c:pt idx="0">
                  <c:v>3.4180000000000006</c:v>
                </c:pt>
                <c:pt idx="1">
                  <c:v>2.7700000000000005</c:v>
                </c:pt>
                <c:pt idx="2">
                  <c:v>2.9739999999999998</c:v>
                </c:pt>
              </c:numCache>
            </c:numRef>
          </c:val>
          <c:extLst>
            <c:ext xmlns:c16="http://schemas.microsoft.com/office/drawing/2014/chart" uri="{C3380CC4-5D6E-409C-BE32-E72D297353CC}">
              <c16:uniqueId val="{00000000-A183-44CF-8809-AE50FE8BA05D}"/>
            </c:ext>
          </c:extLst>
        </c:ser>
        <c:dLbls>
          <c:dLblPos val="inEnd"/>
          <c:showLegendKey val="0"/>
          <c:showVal val="1"/>
          <c:showCatName val="0"/>
          <c:showSerName val="0"/>
          <c:showPercent val="0"/>
          <c:showBubbleSize val="0"/>
        </c:dLbls>
        <c:gapWidth val="41"/>
        <c:axId val="515772064"/>
        <c:axId val="515773048"/>
      </c:barChart>
      <c:catAx>
        <c:axId val="5157720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fr-FR"/>
                  <a:t>Species</a:t>
                </a:r>
              </a:p>
              <a:p>
                <a:pPr>
                  <a:defRPr/>
                </a:pPr>
                <a:endParaRPr lang="fr-F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fr-FR"/>
          </a:p>
        </c:txPr>
        <c:crossAx val="515773048"/>
        <c:crosses val="autoZero"/>
        <c:auto val="1"/>
        <c:lblAlgn val="ctr"/>
        <c:lblOffset val="100"/>
        <c:noMultiLvlLbl val="0"/>
      </c:catAx>
      <c:valAx>
        <c:axId val="51577304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fr-FR"/>
                  <a:t>Moyenne</a:t>
                </a:r>
                <a:r>
                  <a:rPr lang="fr-FR" baseline="0"/>
                  <a:t> SepalWidthCm</a:t>
                </a:r>
              </a:p>
              <a:p>
                <a:pPr>
                  <a:defRPr/>
                </a:pPr>
                <a:endParaRPr lang="fr-F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fr-FR"/>
            </a:p>
          </c:txPr>
        </c:title>
        <c:numFmt formatCode="General" sourceLinked="1"/>
        <c:majorTickMark val="none"/>
        <c:minorTickMark val="none"/>
        <c:tickLblPos val="nextTo"/>
        <c:crossAx val="51577206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[fichier_converti.xlsx]Feuil5!Tableau croisé dynamique6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Répartition par catégorie de taille de pétale</a:t>
            </a:r>
          </a:p>
        </c:rich>
      </c:tx>
      <c:layout>
        <c:manualLayout>
          <c:xMode val="edge"/>
          <c:yMode val="edge"/>
          <c:x val="0.11810891508273123"/>
          <c:y val="0.101566470939924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Feuil5!$B$3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8E6-4598-B59E-8F8AA6569F0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8E6-4598-B59E-8F8AA6569F0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8E6-4598-B59E-8F8AA6569F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Feuil5!$A$4:$A$7</c:f>
              <c:strCache>
                <c:ptCount val="3"/>
                <c:pt idx="0">
                  <c:v>Grande</c:v>
                </c:pt>
                <c:pt idx="1">
                  <c:v>Moyenne</c:v>
                </c:pt>
                <c:pt idx="2">
                  <c:v>Petite</c:v>
                </c:pt>
              </c:strCache>
            </c:strRef>
          </c:cat>
          <c:val>
            <c:numRef>
              <c:f>Feuil5!$B$4:$B$7</c:f>
              <c:numCache>
                <c:formatCode>General</c:formatCode>
                <c:ptCount val="3"/>
                <c:pt idx="0">
                  <c:v>87</c:v>
                </c:pt>
                <c:pt idx="1">
                  <c:v>13</c:v>
                </c:pt>
                <c:pt idx="2">
                  <c:v>50</c:v>
                </c:pt>
              </c:numCache>
            </c:numRef>
          </c:val>
          <c:extLst>
            <c:ext xmlns:c16="http://schemas.microsoft.com/office/drawing/2014/chart" uri="{C3380CC4-5D6E-409C-BE32-E72D297353CC}">
              <c16:uniqueId val="{00000006-18E6-4598-B59E-8F8AA6569F0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[fichier_converti.xlsx]Feuil6!Tableau croisé dynamique8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 </a:t>
            </a:r>
            <a:r>
              <a:rPr lang="fr-FR" sz="1600"/>
              <a:t>Croisement Species × Catégorie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Feuil6!$B$3:$B$4</c:f>
              <c:strCache>
                <c:ptCount val="1"/>
                <c:pt idx="0">
                  <c:v>Grande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Feuil6!$A$5:$A$8</c:f>
              <c:strCache>
                <c:ptCount val="3"/>
                <c:pt idx="0">
                  <c:v>Iris-setosa</c:v>
                </c:pt>
                <c:pt idx="1">
                  <c:v>Iris-versicolor</c:v>
                </c:pt>
                <c:pt idx="2">
                  <c:v>Iris-virginica</c:v>
                </c:pt>
              </c:strCache>
            </c:strRef>
          </c:cat>
          <c:val>
            <c:numRef>
              <c:f>Feuil6!$B$5:$B$8</c:f>
              <c:numCache>
                <c:formatCode>General</c:formatCode>
                <c:ptCount val="3"/>
                <c:pt idx="1">
                  <c:v>37</c:v>
                </c:pt>
                <c:pt idx="2">
                  <c:v>50</c:v>
                </c:pt>
              </c:numCache>
            </c:numRef>
          </c:val>
          <c:extLst>
            <c:ext xmlns:c16="http://schemas.microsoft.com/office/drawing/2014/chart" uri="{C3380CC4-5D6E-409C-BE32-E72D297353CC}">
              <c16:uniqueId val="{00000000-F18D-498C-838A-6809AF56E787}"/>
            </c:ext>
          </c:extLst>
        </c:ser>
        <c:ser>
          <c:idx val="1"/>
          <c:order val="1"/>
          <c:tx>
            <c:strRef>
              <c:f>Feuil6!$C$3:$C$4</c:f>
              <c:strCache>
                <c:ptCount val="1"/>
                <c:pt idx="0">
                  <c:v>Moyenne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Feuil6!$A$5:$A$8</c:f>
              <c:strCache>
                <c:ptCount val="3"/>
                <c:pt idx="0">
                  <c:v>Iris-setosa</c:v>
                </c:pt>
                <c:pt idx="1">
                  <c:v>Iris-versicolor</c:v>
                </c:pt>
                <c:pt idx="2">
                  <c:v>Iris-virginica</c:v>
                </c:pt>
              </c:strCache>
            </c:strRef>
          </c:cat>
          <c:val>
            <c:numRef>
              <c:f>Feuil6!$C$5:$C$8</c:f>
              <c:numCache>
                <c:formatCode>General</c:formatCode>
                <c:ptCount val="3"/>
                <c:pt idx="1">
                  <c:v>13</c:v>
                </c:pt>
              </c:numCache>
            </c:numRef>
          </c:val>
          <c:extLst>
            <c:ext xmlns:c16="http://schemas.microsoft.com/office/drawing/2014/chart" uri="{C3380CC4-5D6E-409C-BE32-E72D297353CC}">
              <c16:uniqueId val="{00000001-F18D-498C-838A-6809AF56E787}"/>
            </c:ext>
          </c:extLst>
        </c:ser>
        <c:ser>
          <c:idx val="2"/>
          <c:order val="2"/>
          <c:tx>
            <c:strRef>
              <c:f>Feuil6!$D$3:$D$4</c:f>
              <c:strCache>
                <c:ptCount val="1"/>
                <c:pt idx="0">
                  <c:v>Petite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Feuil6!$A$5:$A$8</c:f>
              <c:strCache>
                <c:ptCount val="3"/>
                <c:pt idx="0">
                  <c:v>Iris-setosa</c:v>
                </c:pt>
                <c:pt idx="1">
                  <c:v>Iris-versicolor</c:v>
                </c:pt>
                <c:pt idx="2">
                  <c:v>Iris-virginica</c:v>
                </c:pt>
              </c:strCache>
            </c:strRef>
          </c:cat>
          <c:val>
            <c:numRef>
              <c:f>Feuil6!$D$5:$D$8</c:f>
              <c:numCache>
                <c:formatCode>General</c:formatCode>
                <c:ptCount val="3"/>
                <c:pt idx="0">
                  <c:v>50</c:v>
                </c:pt>
              </c:numCache>
            </c:numRef>
          </c:val>
          <c:extLst>
            <c:ext xmlns:c16="http://schemas.microsoft.com/office/drawing/2014/chart" uri="{C3380CC4-5D6E-409C-BE32-E72D297353CC}">
              <c16:uniqueId val="{00000002-F18D-498C-838A-6809AF56E787}"/>
            </c:ext>
          </c:extLst>
        </c:ser>
        <c:dLbls>
          <c:dLblPos val="inEnd"/>
          <c:showLegendKey val="0"/>
          <c:showVal val="1"/>
          <c:showCatName val="0"/>
          <c:showSerName val="0"/>
          <c:showPercent val="0"/>
          <c:showBubbleSize val="0"/>
        </c:dLbls>
        <c:gapWidth val="65"/>
        <c:axId val="607965616"/>
        <c:axId val="607969224"/>
      </c:barChart>
      <c:catAx>
        <c:axId val="6079656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Especes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607969224"/>
        <c:crosses val="autoZero"/>
        <c:auto val="1"/>
        <c:lblAlgn val="ctr"/>
        <c:lblOffset val="100"/>
        <c:noMultiLvlLbl val="0"/>
      </c:catAx>
      <c:valAx>
        <c:axId val="60796922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 Nombre</a:t>
                </a:r>
                <a:r>
                  <a:rPr lang="fr-FR" baseline="0"/>
                  <a:t> d'espece</a:t>
                </a:r>
                <a:endParaRPr lang="fr-F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crossAx val="60796561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[fichier_converti.xlsx]Feuil7!Tableau croisé dynamique10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sz="1600"/>
              <a:t>Longueur moyenne des pétales selon la catégorie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Feuil7!$B$3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Feuil7!$A$4:$A$7</c:f>
              <c:strCache>
                <c:ptCount val="3"/>
                <c:pt idx="0">
                  <c:v>Grande</c:v>
                </c:pt>
                <c:pt idx="1">
                  <c:v>Moyenne</c:v>
                </c:pt>
                <c:pt idx="2">
                  <c:v>Petite</c:v>
                </c:pt>
              </c:strCache>
            </c:strRef>
          </c:cat>
          <c:val>
            <c:numRef>
              <c:f>Feuil7!$B$4:$B$7</c:f>
              <c:numCache>
                <c:formatCode>General</c:formatCode>
                <c:ptCount val="3"/>
                <c:pt idx="0">
                  <c:v>5.0919540229885056</c:v>
                </c:pt>
                <c:pt idx="1">
                  <c:v>3.661538461538461</c:v>
                </c:pt>
                <c:pt idx="2">
                  <c:v>1.464</c:v>
                </c:pt>
              </c:numCache>
            </c:numRef>
          </c:val>
          <c:extLst>
            <c:ext xmlns:c16="http://schemas.microsoft.com/office/drawing/2014/chart" uri="{C3380CC4-5D6E-409C-BE32-E72D297353CC}">
              <c16:uniqueId val="{00000000-B5C1-4ACA-A7B6-3A4C0F77443C}"/>
            </c:ext>
          </c:extLst>
        </c:ser>
        <c:dLbls>
          <c:dLblPos val="inEnd"/>
          <c:showLegendKey val="0"/>
          <c:showVal val="1"/>
          <c:showCatName val="0"/>
          <c:showSerName val="0"/>
          <c:showPercent val="0"/>
          <c:showBubbleSize val="0"/>
        </c:dLbls>
        <c:gapWidth val="65"/>
        <c:axId val="315228432"/>
        <c:axId val="315222856"/>
      </c:barChart>
      <c:catAx>
        <c:axId val="3152284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size</a:t>
                </a:r>
                <a:r>
                  <a:rPr lang="fr-FR" baseline="0"/>
                  <a:t> pétales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315222856"/>
        <c:crosses val="autoZero"/>
        <c:auto val="1"/>
        <c:lblAlgn val="ctr"/>
        <c:lblOffset val="100"/>
        <c:noMultiLvlLbl val="0"/>
      </c:catAx>
      <c:valAx>
        <c:axId val="3152228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Longueur</a:t>
                </a:r>
                <a:r>
                  <a:rPr lang="fr-FR" baseline="0"/>
                  <a:t> moyenne petales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31522843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diagramme en baton des effectifs de la longueur des sépales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manualLayout>
          <c:layoutTarget val="inner"/>
          <c:xMode val="edge"/>
          <c:yMode val="edge"/>
          <c:x val="7.5145450568678912E-2"/>
          <c:y val="0.15319444444444447"/>
          <c:w val="0.90286351706036749"/>
          <c:h val="0.72088764946048411"/>
        </c:manualLayout>
      </c:layout>
      <c:barChart>
        <c:barDir val="col"/>
        <c:grouping val="clustered"/>
        <c:varyColors val="0"/>
        <c:ser>
          <c:idx val="0"/>
          <c:order val="0"/>
          <c:tx>
            <c:strRef>
              <c:f>Analyse_données!$C$7</c:f>
              <c:strCache>
                <c:ptCount val="1"/>
                <c:pt idx="0">
                  <c:v>ni</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val>
            <c:numRef>
              <c:f>Analyse_données!$C$8:$C$42</c:f>
              <c:numCache>
                <c:formatCode>0;[Red]0</c:formatCode>
                <c:ptCount val="35"/>
                <c:pt idx="0">
                  <c:v>9</c:v>
                </c:pt>
                <c:pt idx="1">
                  <c:v>6</c:v>
                </c:pt>
                <c:pt idx="2">
                  <c:v>2</c:v>
                </c:pt>
                <c:pt idx="3">
                  <c:v>4</c:v>
                </c:pt>
                <c:pt idx="4">
                  <c:v>10</c:v>
                </c:pt>
                <c:pt idx="5">
                  <c:v>6</c:v>
                </c:pt>
                <c:pt idx="6">
                  <c:v>3</c:v>
                </c:pt>
                <c:pt idx="7">
                  <c:v>5</c:v>
                </c:pt>
                <c:pt idx="8">
                  <c:v>1</c:v>
                </c:pt>
                <c:pt idx="9">
                  <c:v>7</c:v>
                </c:pt>
                <c:pt idx="10">
                  <c:v>8</c:v>
                </c:pt>
                <c:pt idx="11">
                  <c:v>4</c:v>
                </c:pt>
                <c:pt idx="12">
                  <c:v>7</c:v>
                </c:pt>
                <c:pt idx="13">
                  <c:v>1</c:v>
                </c:pt>
                <c:pt idx="14">
                  <c:v>1</c:v>
                </c:pt>
                <c:pt idx="15">
                  <c:v>1</c:v>
                </c:pt>
                <c:pt idx="16">
                  <c:v>7</c:v>
                </c:pt>
                <c:pt idx="17">
                  <c:v>4</c:v>
                </c:pt>
                <c:pt idx="18">
                  <c:v>5</c:v>
                </c:pt>
                <c:pt idx="19">
                  <c:v>9</c:v>
                </c:pt>
                <c:pt idx="20">
                  <c:v>2</c:v>
                </c:pt>
                <c:pt idx="21">
                  <c:v>3</c:v>
                </c:pt>
                <c:pt idx="22">
                  <c:v>6</c:v>
                </c:pt>
                <c:pt idx="23">
                  <c:v>6</c:v>
                </c:pt>
                <c:pt idx="24">
                  <c:v>6</c:v>
                </c:pt>
                <c:pt idx="25">
                  <c:v>8</c:v>
                </c:pt>
                <c:pt idx="26">
                  <c:v>4</c:v>
                </c:pt>
                <c:pt idx="27">
                  <c:v>3</c:v>
                </c:pt>
                <c:pt idx="28">
                  <c:v>1</c:v>
                </c:pt>
                <c:pt idx="29">
                  <c:v>1</c:v>
                </c:pt>
                <c:pt idx="30">
                  <c:v>1</c:v>
                </c:pt>
                <c:pt idx="31">
                  <c:v>3</c:v>
                </c:pt>
                <c:pt idx="32">
                  <c:v>4</c:v>
                </c:pt>
                <c:pt idx="33">
                  <c:v>1</c:v>
                </c:pt>
                <c:pt idx="34">
                  <c:v>1</c:v>
                </c:pt>
              </c:numCache>
            </c:numRef>
          </c:val>
          <c:extLst>
            <c:ext xmlns:c16="http://schemas.microsoft.com/office/drawing/2014/chart" uri="{C3380CC4-5D6E-409C-BE32-E72D297353CC}">
              <c16:uniqueId val="{00000000-AF43-42EC-BB38-3045327FD667}"/>
            </c:ext>
          </c:extLst>
        </c:ser>
        <c:dLbls>
          <c:dLblPos val="inEnd"/>
          <c:showLegendKey val="0"/>
          <c:showVal val="1"/>
          <c:showCatName val="0"/>
          <c:showSerName val="0"/>
          <c:showPercent val="0"/>
          <c:showBubbleSize val="0"/>
        </c:dLbls>
        <c:gapWidth val="65"/>
        <c:axId val="435841952"/>
        <c:axId val="435839328"/>
      </c:barChart>
      <c:catAx>
        <c:axId val="4358419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SepalLengthCM</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435839328"/>
        <c:crosses val="autoZero"/>
        <c:auto val="1"/>
        <c:lblAlgn val="ctr"/>
        <c:lblOffset val="100"/>
        <c:noMultiLvlLbl val="0"/>
      </c:catAx>
      <c:valAx>
        <c:axId val="4358393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Effectif</a:t>
                </a:r>
              </a:p>
            </c:rich>
          </c:tx>
          <c:layout>
            <c:manualLayout>
              <c:xMode val="edge"/>
              <c:yMode val="edge"/>
              <c:x val="5.5555555555555558E-3"/>
              <c:y val="0.3541823417906095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0;[Red]0" sourceLinked="1"/>
        <c:majorTickMark val="none"/>
        <c:minorTickMark val="none"/>
        <c:tickLblPos val="nextTo"/>
        <c:crossAx val="43584195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Diagramme des effectif cumulés de la longueur</a:t>
            </a:r>
            <a:r>
              <a:rPr lang="en-US" baseline="0"/>
              <a:t> des sépales</a:t>
            </a:r>
            <a:endParaRPr lang="en-US"/>
          </a:p>
        </c:rich>
      </c:tx>
      <c:layout>
        <c:manualLayout>
          <c:xMode val="edge"/>
          <c:yMode val="edge"/>
          <c:x val="0.23399550953575968"/>
          <c:y val="2.437772029925091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scatterChart>
        <c:scatterStyle val="lineMarker"/>
        <c:varyColors val="0"/>
        <c:ser>
          <c:idx val="0"/>
          <c:order val="0"/>
          <c:tx>
            <c:strRef>
              <c:f>Analyse_données!$D$7</c:f>
              <c:strCache>
                <c:ptCount val="1"/>
                <c:pt idx="0">
                  <c:v>Ni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yVal>
            <c:numRef>
              <c:f>Analyse_données!$D$8:$D$42</c:f>
              <c:numCache>
                <c:formatCode>0;[Red]0</c:formatCode>
                <c:ptCount val="35"/>
                <c:pt idx="0">
                  <c:v>9</c:v>
                </c:pt>
                <c:pt idx="1">
                  <c:v>15</c:v>
                </c:pt>
                <c:pt idx="2" formatCode="General">
                  <c:v>17</c:v>
                </c:pt>
                <c:pt idx="3" formatCode="General">
                  <c:v>21</c:v>
                </c:pt>
                <c:pt idx="4" formatCode="General">
                  <c:v>31</c:v>
                </c:pt>
                <c:pt idx="5" formatCode="General">
                  <c:v>37</c:v>
                </c:pt>
                <c:pt idx="6" formatCode="General">
                  <c:v>40</c:v>
                </c:pt>
                <c:pt idx="7" formatCode="General">
                  <c:v>45</c:v>
                </c:pt>
                <c:pt idx="8" formatCode="General">
                  <c:v>46</c:v>
                </c:pt>
                <c:pt idx="9" formatCode="General">
                  <c:v>53</c:v>
                </c:pt>
                <c:pt idx="10" formatCode="General">
                  <c:v>61</c:v>
                </c:pt>
                <c:pt idx="11" formatCode="General">
                  <c:v>65</c:v>
                </c:pt>
                <c:pt idx="12" formatCode="General">
                  <c:v>72</c:v>
                </c:pt>
                <c:pt idx="13" formatCode="General">
                  <c:v>73</c:v>
                </c:pt>
                <c:pt idx="14" formatCode="General">
                  <c:v>74</c:v>
                </c:pt>
                <c:pt idx="15" formatCode="General">
                  <c:v>75</c:v>
                </c:pt>
                <c:pt idx="16" formatCode="General">
                  <c:v>82</c:v>
                </c:pt>
                <c:pt idx="17" formatCode="General">
                  <c:v>86</c:v>
                </c:pt>
                <c:pt idx="18" formatCode="General">
                  <c:v>91</c:v>
                </c:pt>
                <c:pt idx="19" formatCode="General">
                  <c:v>100</c:v>
                </c:pt>
                <c:pt idx="20" formatCode="General">
                  <c:v>102</c:v>
                </c:pt>
                <c:pt idx="21" formatCode="General">
                  <c:v>105</c:v>
                </c:pt>
                <c:pt idx="22" formatCode="General">
                  <c:v>111</c:v>
                </c:pt>
                <c:pt idx="23" formatCode="General">
                  <c:v>117</c:v>
                </c:pt>
                <c:pt idx="24" formatCode="General">
                  <c:v>123</c:v>
                </c:pt>
                <c:pt idx="25" formatCode="General">
                  <c:v>131</c:v>
                </c:pt>
                <c:pt idx="26" formatCode="General">
                  <c:v>135</c:v>
                </c:pt>
                <c:pt idx="27" formatCode="General">
                  <c:v>138</c:v>
                </c:pt>
                <c:pt idx="28" formatCode="General">
                  <c:v>139</c:v>
                </c:pt>
                <c:pt idx="29" formatCode="General">
                  <c:v>140</c:v>
                </c:pt>
                <c:pt idx="30" formatCode="General">
                  <c:v>141</c:v>
                </c:pt>
                <c:pt idx="31" formatCode="General">
                  <c:v>144</c:v>
                </c:pt>
                <c:pt idx="32" formatCode="General">
                  <c:v>148</c:v>
                </c:pt>
                <c:pt idx="33" formatCode="General">
                  <c:v>149</c:v>
                </c:pt>
                <c:pt idx="34" formatCode="General">
                  <c:v>150</c:v>
                </c:pt>
              </c:numCache>
            </c:numRef>
          </c:yVal>
          <c:smooth val="0"/>
          <c:extLst>
            <c:ext xmlns:c16="http://schemas.microsoft.com/office/drawing/2014/chart" uri="{C3380CC4-5D6E-409C-BE32-E72D297353CC}">
              <c16:uniqueId val="{00000000-6D62-41C7-84DF-44466AA42EE5}"/>
            </c:ext>
          </c:extLst>
        </c:ser>
        <c:dLbls>
          <c:showLegendKey val="0"/>
          <c:showVal val="0"/>
          <c:showCatName val="0"/>
          <c:showSerName val="0"/>
          <c:showPercent val="0"/>
          <c:showBubbleSize val="0"/>
        </c:dLbls>
        <c:axId val="509126696"/>
        <c:axId val="509127024"/>
      </c:scatterChart>
      <c:valAx>
        <c:axId val="5091266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fr-FR"/>
                  <a:t>SepalLengthCM</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fr-FR"/>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509127024"/>
        <c:crosses val="autoZero"/>
        <c:crossBetween val="midCat"/>
      </c:valAx>
      <c:valAx>
        <c:axId val="50912702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fr-FR"/>
                  <a:t>Effectifs Cumulés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fr-FR"/>
            </a:p>
          </c:txPr>
        </c:title>
        <c:numFmt formatCode="0;[Red]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50912669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diagramme en baton des effectifs de la largeur des sépales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Analyse_données!$C$49</c:f>
              <c:strCache>
                <c:ptCount val="1"/>
                <c:pt idx="0">
                  <c:v>ni</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Analyse_données!$C$50:$C$72</c:f>
              <c:numCache>
                <c:formatCode>General</c:formatCode>
                <c:ptCount val="23"/>
                <c:pt idx="0">
                  <c:v>6</c:v>
                </c:pt>
                <c:pt idx="1">
                  <c:v>26</c:v>
                </c:pt>
                <c:pt idx="2">
                  <c:v>13</c:v>
                </c:pt>
                <c:pt idx="3">
                  <c:v>12</c:v>
                </c:pt>
                <c:pt idx="4">
                  <c:v>3</c:v>
                </c:pt>
                <c:pt idx="5">
                  <c:v>2</c:v>
                </c:pt>
                <c:pt idx="6">
                  <c:v>12</c:v>
                </c:pt>
                <c:pt idx="7">
                  <c:v>10</c:v>
                </c:pt>
                <c:pt idx="8">
                  <c:v>3</c:v>
                </c:pt>
                <c:pt idx="9">
                  <c:v>1</c:v>
                </c:pt>
                <c:pt idx="10">
                  <c:v>1</c:v>
                </c:pt>
                <c:pt idx="11">
                  <c:v>6</c:v>
                </c:pt>
                <c:pt idx="12">
                  <c:v>6</c:v>
                </c:pt>
                <c:pt idx="13">
                  <c:v>1</c:v>
                </c:pt>
                <c:pt idx="14">
                  <c:v>1</c:v>
                </c:pt>
                <c:pt idx="15">
                  <c:v>4</c:v>
                </c:pt>
                <c:pt idx="16">
                  <c:v>14</c:v>
                </c:pt>
                <c:pt idx="17">
                  <c:v>3</c:v>
                </c:pt>
                <c:pt idx="18">
                  <c:v>9</c:v>
                </c:pt>
                <c:pt idx="19">
                  <c:v>1</c:v>
                </c:pt>
                <c:pt idx="20">
                  <c:v>3</c:v>
                </c:pt>
                <c:pt idx="21">
                  <c:v>8</c:v>
                </c:pt>
                <c:pt idx="22">
                  <c:v>5</c:v>
                </c:pt>
              </c:numCache>
            </c:numRef>
          </c:val>
          <c:extLst>
            <c:ext xmlns:c16="http://schemas.microsoft.com/office/drawing/2014/chart" uri="{C3380CC4-5D6E-409C-BE32-E72D297353CC}">
              <c16:uniqueId val="{00000000-F117-4C92-B374-C353D134CEF0}"/>
            </c:ext>
          </c:extLst>
        </c:ser>
        <c:dLbls>
          <c:dLblPos val="outEnd"/>
          <c:showLegendKey val="0"/>
          <c:showVal val="1"/>
          <c:showCatName val="0"/>
          <c:showSerName val="0"/>
          <c:showPercent val="0"/>
          <c:showBubbleSize val="0"/>
        </c:dLbls>
        <c:gapWidth val="100"/>
        <c:overlap val="-24"/>
        <c:axId val="426620384"/>
        <c:axId val="426620712"/>
      </c:barChart>
      <c:catAx>
        <c:axId val="4266203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Largeure Sépales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26620712"/>
        <c:crosses val="autoZero"/>
        <c:auto val="1"/>
        <c:lblAlgn val="ctr"/>
        <c:lblOffset val="100"/>
        <c:noMultiLvlLbl val="0"/>
      </c:catAx>
      <c:valAx>
        <c:axId val="426620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effectifs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266203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Diagramme des effectifs Cumulés</a:t>
            </a:r>
            <a:r>
              <a:rPr lang="en-US" baseline="0"/>
              <a:t> de la largeur des sépales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lineChart>
        <c:grouping val="standard"/>
        <c:varyColors val="0"/>
        <c:ser>
          <c:idx val="0"/>
          <c:order val="0"/>
          <c:tx>
            <c:strRef>
              <c:f>Analyse_données!$D$49</c:f>
              <c:strCache>
                <c:ptCount val="1"/>
                <c:pt idx="0">
                  <c:v>Ni</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val>
            <c:numRef>
              <c:f>Analyse_données!$D$50:$D$72</c:f>
              <c:numCache>
                <c:formatCode>0;[Red]0</c:formatCode>
                <c:ptCount val="23"/>
                <c:pt idx="0">
                  <c:v>6</c:v>
                </c:pt>
                <c:pt idx="1">
                  <c:v>32</c:v>
                </c:pt>
                <c:pt idx="2">
                  <c:v>45</c:v>
                </c:pt>
                <c:pt idx="3">
                  <c:v>57</c:v>
                </c:pt>
                <c:pt idx="4">
                  <c:v>60</c:v>
                </c:pt>
                <c:pt idx="5">
                  <c:v>62</c:v>
                </c:pt>
                <c:pt idx="6">
                  <c:v>74</c:v>
                </c:pt>
                <c:pt idx="7">
                  <c:v>84</c:v>
                </c:pt>
                <c:pt idx="8">
                  <c:v>87</c:v>
                </c:pt>
                <c:pt idx="9">
                  <c:v>88</c:v>
                </c:pt>
                <c:pt idx="10">
                  <c:v>89</c:v>
                </c:pt>
                <c:pt idx="11">
                  <c:v>95</c:v>
                </c:pt>
                <c:pt idx="12">
                  <c:v>101</c:v>
                </c:pt>
                <c:pt idx="13">
                  <c:v>102</c:v>
                </c:pt>
                <c:pt idx="14">
                  <c:v>103</c:v>
                </c:pt>
                <c:pt idx="15">
                  <c:v>107</c:v>
                </c:pt>
                <c:pt idx="16">
                  <c:v>121</c:v>
                </c:pt>
                <c:pt idx="17">
                  <c:v>124</c:v>
                </c:pt>
                <c:pt idx="18">
                  <c:v>133</c:v>
                </c:pt>
                <c:pt idx="19">
                  <c:v>134</c:v>
                </c:pt>
                <c:pt idx="20">
                  <c:v>137</c:v>
                </c:pt>
                <c:pt idx="21">
                  <c:v>145</c:v>
                </c:pt>
                <c:pt idx="22">
                  <c:v>150</c:v>
                </c:pt>
              </c:numCache>
            </c:numRef>
          </c:val>
          <c:smooth val="0"/>
          <c:extLst>
            <c:ext xmlns:c16="http://schemas.microsoft.com/office/drawing/2014/chart" uri="{C3380CC4-5D6E-409C-BE32-E72D297353CC}">
              <c16:uniqueId val="{00000000-D154-4276-8CD6-F4DA3723C16E}"/>
            </c:ext>
          </c:extLst>
        </c:ser>
        <c:ser>
          <c:idx val="1"/>
          <c:order val="1"/>
          <c:tx>
            <c:v>B49:B72</c:v>
          </c:tx>
          <c:spPr>
            <a:ln w="34925" cap="rnd">
              <a:solidFill>
                <a:schemeClr val="accent2"/>
              </a:solidFill>
              <a:round/>
            </a:ln>
            <a:effectLst>
              <a:outerShdw blurRad="40000" dist="23000" dir="5400000" rotWithShape="0">
                <a:srgbClr val="000000">
                  <a:alpha val="35000"/>
                </a:srgbClr>
              </a:outerShdw>
            </a:effectLst>
          </c:spPr>
          <c:marker>
            <c:symbol val="none"/>
          </c:marker>
          <c:val>
            <c:numLit>
              <c:formatCode>General</c:formatCode>
              <c:ptCount val="1"/>
              <c:pt idx="0">
                <c:v>1</c:v>
              </c:pt>
            </c:numLit>
          </c:val>
          <c:smooth val="0"/>
          <c:extLst>
            <c:ext xmlns:c16="http://schemas.microsoft.com/office/drawing/2014/chart" uri="{C3380CC4-5D6E-409C-BE32-E72D297353CC}">
              <c16:uniqueId val="{00000001-D154-4276-8CD6-F4DA3723C16E}"/>
            </c:ext>
          </c:extLst>
        </c:ser>
        <c:dLbls>
          <c:dLblPos val="t"/>
          <c:showLegendKey val="0"/>
          <c:showVal val="0"/>
          <c:showCatName val="0"/>
          <c:showSerName val="0"/>
          <c:showPercent val="0"/>
          <c:showBubbleSize val="0"/>
        </c:dLbls>
        <c:smooth val="0"/>
        <c:axId val="333966000"/>
        <c:axId val="333964032"/>
      </c:lineChart>
      <c:catAx>
        <c:axId val="3339660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Largeur Sépales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333964032"/>
        <c:crosses val="autoZero"/>
        <c:auto val="1"/>
        <c:lblAlgn val="ctr"/>
        <c:lblOffset val="100"/>
        <c:noMultiLvlLbl val="0"/>
      </c:catAx>
      <c:valAx>
        <c:axId val="3339640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effectifs Cumulés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3339660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diagramme en baton des frequence de la longueur des pétales en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Analyse_données!$E$85</c:f>
              <c:strCache>
                <c:ptCount val="1"/>
                <c:pt idx="0">
                  <c:v>fi(%)</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Analyse_données!$E$86:$E$128</c:f>
              <c:numCache>
                <c:formatCode>0.00;[Red]0.00</c:formatCode>
                <c:ptCount val="43"/>
                <c:pt idx="0">
                  <c:v>8</c:v>
                </c:pt>
                <c:pt idx="1">
                  <c:v>4.666666666666667</c:v>
                </c:pt>
                <c:pt idx="2">
                  <c:v>9.3333333333333339</c:v>
                </c:pt>
                <c:pt idx="3">
                  <c:v>2.666666666666667</c:v>
                </c:pt>
                <c:pt idx="4">
                  <c:v>4.666666666666667</c:v>
                </c:pt>
                <c:pt idx="5">
                  <c:v>0.66666666666666674</c:v>
                </c:pt>
                <c:pt idx="6">
                  <c:v>1.3333333333333335</c:v>
                </c:pt>
                <c:pt idx="7">
                  <c:v>0.66666666666666674</c:v>
                </c:pt>
                <c:pt idx="8">
                  <c:v>1.3333333333333335</c:v>
                </c:pt>
                <c:pt idx="9">
                  <c:v>3.3333333333333335</c:v>
                </c:pt>
                <c:pt idx="10">
                  <c:v>5.3333333333333339</c:v>
                </c:pt>
                <c:pt idx="11">
                  <c:v>3.3333333333333335</c:v>
                </c:pt>
                <c:pt idx="12">
                  <c:v>3.3333333333333335</c:v>
                </c:pt>
                <c:pt idx="13">
                  <c:v>2</c:v>
                </c:pt>
                <c:pt idx="14">
                  <c:v>1.3333333333333335</c:v>
                </c:pt>
                <c:pt idx="15">
                  <c:v>2</c:v>
                </c:pt>
                <c:pt idx="16">
                  <c:v>1.3333333333333335</c:v>
                </c:pt>
                <c:pt idx="17">
                  <c:v>2.666666666666667</c:v>
                </c:pt>
                <c:pt idx="18">
                  <c:v>0.66666666666666674</c:v>
                </c:pt>
                <c:pt idx="19">
                  <c:v>2.666666666666667</c:v>
                </c:pt>
                <c:pt idx="20">
                  <c:v>2</c:v>
                </c:pt>
                <c:pt idx="21">
                  <c:v>2.666666666666667</c:v>
                </c:pt>
                <c:pt idx="22">
                  <c:v>1.3333333333333335</c:v>
                </c:pt>
                <c:pt idx="23">
                  <c:v>2.666666666666667</c:v>
                </c:pt>
                <c:pt idx="24">
                  <c:v>0.66666666666666674</c:v>
                </c:pt>
                <c:pt idx="25">
                  <c:v>0.66666666666666674</c:v>
                </c:pt>
                <c:pt idx="26">
                  <c:v>5.3333333333333339</c:v>
                </c:pt>
                <c:pt idx="27">
                  <c:v>0.66666666666666674</c:v>
                </c:pt>
                <c:pt idx="28">
                  <c:v>1.3333333333333335</c:v>
                </c:pt>
                <c:pt idx="29">
                  <c:v>1.3333333333333335</c:v>
                </c:pt>
                <c:pt idx="30">
                  <c:v>4</c:v>
                </c:pt>
                <c:pt idx="31">
                  <c:v>2</c:v>
                </c:pt>
                <c:pt idx="32">
                  <c:v>0.66666666666666674</c:v>
                </c:pt>
                <c:pt idx="33">
                  <c:v>0.66666666666666674</c:v>
                </c:pt>
                <c:pt idx="34">
                  <c:v>2</c:v>
                </c:pt>
                <c:pt idx="35">
                  <c:v>1.3333333333333335</c:v>
                </c:pt>
                <c:pt idx="36">
                  <c:v>2</c:v>
                </c:pt>
                <c:pt idx="37">
                  <c:v>1.3333333333333335</c:v>
                </c:pt>
                <c:pt idx="38">
                  <c:v>0.66666666666666674</c:v>
                </c:pt>
                <c:pt idx="39">
                  <c:v>2</c:v>
                </c:pt>
                <c:pt idx="40">
                  <c:v>0.66666666666666674</c:v>
                </c:pt>
                <c:pt idx="41">
                  <c:v>1.3333333333333335</c:v>
                </c:pt>
                <c:pt idx="42">
                  <c:v>1.3333333333333335</c:v>
                </c:pt>
              </c:numCache>
            </c:numRef>
          </c:val>
          <c:extLst>
            <c:ext xmlns:c16="http://schemas.microsoft.com/office/drawing/2014/chart" uri="{C3380CC4-5D6E-409C-BE32-E72D297353CC}">
              <c16:uniqueId val="{00000000-1F27-4E83-AC7F-4BB6F7280CDD}"/>
            </c:ext>
          </c:extLst>
        </c:ser>
        <c:dLbls>
          <c:dLblPos val="inEnd"/>
          <c:showLegendKey val="0"/>
          <c:showVal val="0"/>
          <c:showCatName val="0"/>
          <c:showSerName val="0"/>
          <c:showPercent val="0"/>
          <c:showBubbleSize val="0"/>
        </c:dLbls>
        <c:gapWidth val="100"/>
        <c:overlap val="-24"/>
        <c:axId val="495330464"/>
        <c:axId val="495327512"/>
      </c:barChart>
      <c:catAx>
        <c:axId val="4953304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Longueur des pétales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95327512"/>
        <c:crosses val="autoZero"/>
        <c:auto val="1"/>
        <c:lblAlgn val="ctr"/>
        <c:lblOffset val="100"/>
        <c:noMultiLvlLbl val="0"/>
      </c:catAx>
      <c:valAx>
        <c:axId val="4953275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fréquence des pétales(%)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953304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Fréquences Cumulés de la longueur des pétales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lineChart>
        <c:grouping val="standard"/>
        <c:varyColors val="0"/>
        <c:ser>
          <c:idx val="0"/>
          <c:order val="0"/>
          <c:tx>
            <c:strRef>
              <c:f>Analyse_données!$F$85</c:f>
              <c:strCache>
                <c:ptCount val="1"/>
                <c:pt idx="0">
                  <c:v>Fi(%)</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val>
            <c:numRef>
              <c:f>Analyse_données!$F$86:$F$128</c:f>
              <c:numCache>
                <c:formatCode>0.00;[Red]0.00</c:formatCode>
                <c:ptCount val="43"/>
                <c:pt idx="0">
                  <c:v>8</c:v>
                </c:pt>
                <c:pt idx="1">
                  <c:v>12.666666666666668</c:v>
                </c:pt>
                <c:pt idx="2">
                  <c:v>22</c:v>
                </c:pt>
                <c:pt idx="3">
                  <c:v>24.666666666666668</c:v>
                </c:pt>
                <c:pt idx="4">
                  <c:v>29.333333333333336</c:v>
                </c:pt>
                <c:pt idx="5">
                  <c:v>30.000000000000004</c:v>
                </c:pt>
                <c:pt idx="6">
                  <c:v>31.333333333333336</c:v>
                </c:pt>
                <c:pt idx="7">
                  <c:v>32</c:v>
                </c:pt>
                <c:pt idx="8">
                  <c:v>33.333333333333336</c:v>
                </c:pt>
                <c:pt idx="9">
                  <c:v>36.666666666666671</c:v>
                </c:pt>
                <c:pt idx="10">
                  <c:v>42.000000000000007</c:v>
                </c:pt>
                <c:pt idx="11">
                  <c:v>45.333333333333343</c:v>
                </c:pt>
                <c:pt idx="12">
                  <c:v>48.666666666666679</c:v>
                </c:pt>
                <c:pt idx="13">
                  <c:v>50.666666666666679</c:v>
                </c:pt>
                <c:pt idx="14">
                  <c:v>52.000000000000014</c:v>
                </c:pt>
                <c:pt idx="15">
                  <c:v>54.000000000000014</c:v>
                </c:pt>
                <c:pt idx="16">
                  <c:v>55.33333333333335</c:v>
                </c:pt>
                <c:pt idx="17">
                  <c:v>58.000000000000014</c:v>
                </c:pt>
                <c:pt idx="18">
                  <c:v>58.666666666666679</c:v>
                </c:pt>
                <c:pt idx="19">
                  <c:v>61.333333333333343</c:v>
                </c:pt>
                <c:pt idx="20">
                  <c:v>63.333333333333343</c:v>
                </c:pt>
                <c:pt idx="21">
                  <c:v>66.000000000000014</c:v>
                </c:pt>
                <c:pt idx="22">
                  <c:v>67.333333333333343</c:v>
                </c:pt>
                <c:pt idx="23">
                  <c:v>70.000000000000014</c:v>
                </c:pt>
                <c:pt idx="24">
                  <c:v>70.666666666666686</c:v>
                </c:pt>
                <c:pt idx="25">
                  <c:v>71.333333333333357</c:v>
                </c:pt>
                <c:pt idx="26">
                  <c:v>76.666666666666686</c:v>
                </c:pt>
                <c:pt idx="27">
                  <c:v>77.333333333333357</c:v>
                </c:pt>
                <c:pt idx="28">
                  <c:v>78.666666666666686</c:v>
                </c:pt>
                <c:pt idx="29">
                  <c:v>80.000000000000014</c:v>
                </c:pt>
                <c:pt idx="30">
                  <c:v>84.000000000000014</c:v>
                </c:pt>
                <c:pt idx="31">
                  <c:v>86.000000000000014</c:v>
                </c:pt>
                <c:pt idx="32">
                  <c:v>86.666666666666686</c:v>
                </c:pt>
                <c:pt idx="33">
                  <c:v>87.333333333333357</c:v>
                </c:pt>
                <c:pt idx="34">
                  <c:v>89.333333333333357</c:v>
                </c:pt>
                <c:pt idx="35">
                  <c:v>90.666666666666686</c:v>
                </c:pt>
                <c:pt idx="36">
                  <c:v>92.666666666666686</c:v>
                </c:pt>
                <c:pt idx="37">
                  <c:v>94.000000000000014</c:v>
                </c:pt>
                <c:pt idx="38">
                  <c:v>94.666666666666686</c:v>
                </c:pt>
                <c:pt idx="39">
                  <c:v>96.666666666666686</c:v>
                </c:pt>
                <c:pt idx="40">
                  <c:v>97.333333333333357</c:v>
                </c:pt>
                <c:pt idx="41">
                  <c:v>98.666666666666686</c:v>
                </c:pt>
                <c:pt idx="42">
                  <c:v>100.00000000000001</c:v>
                </c:pt>
              </c:numCache>
            </c:numRef>
          </c:val>
          <c:smooth val="0"/>
          <c:extLst>
            <c:ext xmlns:c16="http://schemas.microsoft.com/office/drawing/2014/chart" uri="{C3380CC4-5D6E-409C-BE32-E72D297353CC}">
              <c16:uniqueId val="{00000000-218F-4F68-A8F1-BDA8C9F163DF}"/>
            </c:ext>
          </c:extLst>
        </c:ser>
        <c:dLbls>
          <c:showLegendKey val="0"/>
          <c:showVal val="0"/>
          <c:showCatName val="0"/>
          <c:showSerName val="0"/>
          <c:showPercent val="0"/>
          <c:showBubbleSize val="0"/>
        </c:dLbls>
        <c:smooth val="0"/>
        <c:axId val="677638712"/>
        <c:axId val="677634120"/>
      </c:lineChart>
      <c:catAx>
        <c:axId val="6776387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Longueur des pétales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77634120"/>
        <c:crosses val="autoZero"/>
        <c:auto val="1"/>
        <c:lblAlgn val="ctr"/>
        <c:lblOffset val="100"/>
        <c:noMultiLvlLbl val="0"/>
      </c:catAx>
      <c:valAx>
        <c:axId val="6776341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Fréquence cumulés (%)</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776387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diagramme en baton des frequence de la largeur des pétales en %</a:t>
            </a:r>
            <a:endParaRPr lang="fr-F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Analyse_données!$E$137:$E$158</c:f>
              <c:numCache>
                <c:formatCode>0.00;[Red]0.00</c:formatCode>
                <c:ptCount val="22"/>
                <c:pt idx="0">
                  <c:v>18.666666666666668</c:v>
                </c:pt>
                <c:pt idx="1">
                  <c:v>4.666666666666667</c:v>
                </c:pt>
                <c:pt idx="2">
                  <c:v>4.666666666666667</c:v>
                </c:pt>
                <c:pt idx="3">
                  <c:v>4</c:v>
                </c:pt>
                <c:pt idx="4">
                  <c:v>0.66666666666666674</c:v>
                </c:pt>
                <c:pt idx="5">
                  <c:v>0.66666666666666674</c:v>
                </c:pt>
                <c:pt idx="6">
                  <c:v>5.3333333333333339</c:v>
                </c:pt>
                <c:pt idx="7">
                  <c:v>8</c:v>
                </c:pt>
                <c:pt idx="8">
                  <c:v>8.6666666666666679</c:v>
                </c:pt>
                <c:pt idx="9">
                  <c:v>2.666666666666667</c:v>
                </c:pt>
                <c:pt idx="10">
                  <c:v>4.666666666666667</c:v>
                </c:pt>
                <c:pt idx="11">
                  <c:v>2</c:v>
                </c:pt>
                <c:pt idx="12">
                  <c:v>8</c:v>
                </c:pt>
                <c:pt idx="13">
                  <c:v>3.3333333333333335</c:v>
                </c:pt>
                <c:pt idx="14">
                  <c:v>1.3333333333333335</c:v>
                </c:pt>
                <c:pt idx="15">
                  <c:v>2</c:v>
                </c:pt>
                <c:pt idx="16">
                  <c:v>3.3333333333333335</c:v>
                </c:pt>
                <c:pt idx="17">
                  <c:v>4</c:v>
                </c:pt>
                <c:pt idx="18">
                  <c:v>2</c:v>
                </c:pt>
                <c:pt idx="19">
                  <c:v>4</c:v>
                </c:pt>
                <c:pt idx="20">
                  <c:v>2</c:v>
                </c:pt>
                <c:pt idx="21">
                  <c:v>5.3333333333333339</c:v>
                </c:pt>
              </c:numCache>
            </c:numRef>
          </c:val>
          <c:extLst>
            <c:ext xmlns:c16="http://schemas.microsoft.com/office/drawing/2014/chart" uri="{C3380CC4-5D6E-409C-BE32-E72D297353CC}">
              <c16:uniqueId val="{00000000-49AB-4ECB-8E3A-6173133D627B}"/>
            </c:ext>
          </c:extLst>
        </c:ser>
        <c:dLbls>
          <c:showLegendKey val="0"/>
          <c:showVal val="0"/>
          <c:showCatName val="0"/>
          <c:showSerName val="0"/>
          <c:showPercent val="0"/>
          <c:showBubbleSize val="0"/>
        </c:dLbls>
        <c:gapWidth val="100"/>
        <c:overlap val="-24"/>
        <c:axId val="429681576"/>
        <c:axId val="429682232"/>
      </c:barChart>
      <c:catAx>
        <c:axId val="4296815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Largeur des pétales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29682232"/>
        <c:crosses val="autoZero"/>
        <c:auto val="1"/>
        <c:lblAlgn val="ctr"/>
        <c:lblOffset val="100"/>
        <c:noMultiLvlLbl val="0"/>
      </c:catAx>
      <c:valAx>
        <c:axId val="4296822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Fréquence en %</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296815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Fréquences Cumulés de la largeur des pétales</a:t>
            </a:r>
            <a:endParaRPr lang="fr-F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lineChart>
        <c:grouping val="standard"/>
        <c:varyColors val="0"/>
        <c:ser>
          <c:idx val="0"/>
          <c:order val="0"/>
          <c:tx>
            <c:strRef>
              <c:f>Analyse_données!$F$136</c:f>
              <c:strCache>
                <c:ptCount val="1"/>
                <c:pt idx="0">
                  <c:v>Fi(%)</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val>
            <c:numRef>
              <c:f>Analyse_données!$F$137:$F$158</c:f>
              <c:numCache>
                <c:formatCode>0.00;[Red]0.00</c:formatCode>
                <c:ptCount val="22"/>
                <c:pt idx="0">
                  <c:v>18.666666666666668</c:v>
                </c:pt>
                <c:pt idx="1">
                  <c:v>23.333333333333336</c:v>
                </c:pt>
                <c:pt idx="2">
                  <c:v>28.000000000000004</c:v>
                </c:pt>
                <c:pt idx="3">
                  <c:v>32</c:v>
                </c:pt>
                <c:pt idx="4">
                  <c:v>32.666666666666664</c:v>
                </c:pt>
                <c:pt idx="5">
                  <c:v>33.333333333333329</c:v>
                </c:pt>
                <c:pt idx="6">
                  <c:v>38.666666666666664</c:v>
                </c:pt>
                <c:pt idx="7">
                  <c:v>46.666666666666664</c:v>
                </c:pt>
                <c:pt idx="8">
                  <c:v>55.333333333333329</c:v>
                </c:pt>
                <c:pt idx="9">
                  <c:v>57.999999999999993</c:v>
                </c:pt>
                <c:pt idx="10">
                  <c:v>62.666666666666657</c:v>
                </c:pt>
                <c:pt idx="11">
                  <c:v>64.666666666666657</c:v>
                </c:pt>
                <c:pt idx="12">
                  <c:v>72.666666666666657</c:v>
                </c:pt>
                <c:pt idx="13">
                  <c:v>75.999999999999986</c:v>
                </c:pt>
                <c:pt idx="14">
                  <c:v>77.333333333333314</c:v>
                </c:pt>
                <c:pt idx="15">
                  <c:v>79.333333333333314</c:v>
                </c:pt>
                <c:pt idx="16">
                  <c:v>82.666666666666643</c:v>
                </c:pt>
                <c:pt idx="17">
                  <c:v>86.666666666666643</c:v>
                </c:pt>
                <c:pt idx="18">
                  <c:v>88.666666666666643</c:v>
                </c:pt>
                <c:pt idx="19">
                  <c:v>92.666666666666643</c:v>
                </c:pt>
                <c:pt idx="20">
                  <c:v>94.666666666666643</c:v>
                </c:pt>
                <c:pt idx="21">
                  <c:v>99.999999999999972</c:v>
                </c:pt>
              </c:numCache>
            </c:numRef>
          </c:val>
          <c:smooth val="0"/>
          <c:extLst>
            <c:ext xmlns:c16="http://schemas.microsoft.com/office/drawing/2014/chart" uri="{C3380CC4-5D6E-409C-BE32-E72D297353CC}">
              <c16:uniqueId val="{00000000-6886-455B-B930-18319616C883}"/>
            </c:ext>
          </c:extLst>
        </c:ser>
        <c:dLbls>
          <c:dLblPos val="t"/>
          <c:showLegendKey val="0"/>
          <c:showVal val="0"/>
          <c:showCatName val="0"/>
          <c:showSerName val="0"/>
          <c:showPercent val="0"/>
          <c:showBubbleSize val="0"/>
        </c:dLbls>
        <c:smooth val="0"/>
        <c:axId val="675981344"/>
        <c:axId val="675976424"/>
      </c:lineChart>
      <c:catAx>
        <c:axId val="6759813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Largeur des pétales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75976424"/>
        <c:crosses val="autoZero"/>
        <c:auto val="1"/>
        <c:lblAlgn val="ctr"/>
        <c:lblOffset val="100"/>
        <c:noMultiLvlLbl val="0"/>
      </c:catAx>
      <c:valAx>
        <c:axId val="6759764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Fréquences  Cumulés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759813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 effectifs des especes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Analyse_données!$C$176</c:f>
              <c:strCache>
                <c:ptCount val="1"/>
                <c:pt idx="0">
                  <c:v>Effectifs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Analyse_données!$B$177:$B$179</c:f>
              <c:strCache>
                <c:ptCount val="3"/>
                <c:pt idx="0">
                  <c:v>Iris-setosa</c:v>
                </c:pt>
                <c:pt idx="1">
                  <c:v>Iris-versicolor</c:v>
                </c:pt>
                <c:pt idx="2">
                  <c:v>Iris-virginica</c:v>
                </c:pt>
              </c:strCache>
            </c:strRef>
          </c:cat>
          <c:val>
            <c:numRef>
              <c:f>Analyse_données!$C$177:$C$179</c:f>
              <c:numCache>
                <c:formatCode>General</c:formatCode>
                <c:ptCount val="3"/>
                <c:pt idx="0">
                  <c:v>50</c:v>
                </c:pt>
                <c:pt idx="1">
                  <c:v>50</c:v>
                </c:pt>
                <c:pt idx="2">
                  <c:v>50</c:v>
                </c:pt>
              </c:numCache>
            </c:numRef>
          </c:val>
          <c:extLst>
            <c:ext xmlns:c16="http://schemas.microsoft.com/office/drawing/2014/chart" uri="{C3380CC4-5D6E-409C-BE32-E72D297353CC}">
              <c16:uniqueId val="{00000000-6396-4290-8597-274B2BF98D72}"/>
            </c:ext>
          </c:extLst>
        </c:ser>
        <c:dLbls>
          <c:dLblPos val="inEnd"/>
          <c:showLegendKey val="0"/>
          <c:showVal val="1"/>
          <c:showCatName val="0"/>
          <c:showSerName val="0"/>
          <c:showPercent val="0"/>
          <c:showBubbleSize val="0"/>
        </c:dLbls>
        <c:gapWidth val="100"/>
        <c:overlap val="-24"/>
        <c:axId val="421336192"/>
        <c:axId val="421340456"/>
      </c:barChart>
      <c:catAx>
        <c:axId val="4213361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Especes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21340456"/>
        <c:crosses val="autoZero"/>
        <c:auto val="1"/>
        <c:lblAlgn val="ctr"/>
        <c:lblOffset val="100"/>
        <c:noMultiLvlLbl val="0"/>
      </c:catAx>
      <c:valAx>
        <c:axId val="4213404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Effectifs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213361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Effectifs</a:t>
            </a:r>
            <a:r>
              <a:rPr lang="fr-FR" baseline="0"/>
              <a:t> Des Especes</a:t>
            </a:r>
            <a:endParaRPr lang="fr-F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manualLayout>
          <c:layoutTarget val="inner"/>
          <c:xMode val="edge"/>
          <c:yMode val="edge"/>
          <c:x val="0.13712335958005251"/>
          <c:y val="6.0185185185185182E-2"/>
          <c:w val="0.83354330708661417"/>
          <c:h val="0.73577136191309422"/>
        </c:manualLayout>
      </c:layout>
      <c:barChart>
        <c:barDir val="bar"/>
        <c:grouping val="clustered"/>
        <c:varyColors val="0"/>
        <c:ser>
          <c:idx val="0"/>
          <c:order val="0"/>
          <c:tx>
            <c:strRef>
              <c:f>Analyse_données!$B$177</c:f>
              <c:strCache>
                <c:ptCount val="1"/>
                <c:pt idx="0">
                  <c:v>Iris-setosa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Analyse_données!$C$176</c:f>
              <c:strCache>
                <c:ptCount val="1"/>
                <c:pt idx="0">
                  <c:v>Effectifs</c:v>
                </c:pt>
              </c:strCache>
            </c:strRef>
          </c:cat>
          <c:val>
            <c:numRef>
              <c:f>Analyse_données!$C$177</c:f>
              <c:numCache>
                <c:formatCode>General</c:formatCode>
                <c:ptCount val="1"/>
                <c:pt idx="0">
                  <c:v>50</c:v>
                </c:pt>
              </c:numCache>
            </c:numRef>
          </c:val>
          <c:extLst>
            <c:ext xmlns:c16="http://schemas.microsoft.com/office/drawing/2014/chart" uri="{C3380CC4-5D6E-409C-BE32-E72D297353CC}">
              <c16:uniqueId val="{00000000-251E-4DD3-A4EA-AE0CB9EEDF47}"/>
            </c:ext>
          </c:extLst>
        </c:ser>
        <c:ser>
          <c:idx val="1"/>
          <c:order val="1"/>
          <c:tx>
            <c:strRef>
              <c:f>Analyse_données!$B$178</c:f>
              <c:strCache>
                <c:ptCount val="1"/>
                <c:pt idx="0">
                  <c:v>Iris-versicolor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Analyse_données!$C$176</c:f>
              <c:strCache>
                <c:ptCount val="1"/>
                <c:pt idx="0">
                  <c:v>Effectifs</c:v>
                </c:pt>
              </c:strCache>
            </c:strRef>
          </c:cat>
          <c:val>
            <c:numRef>
              <c:f>Analyse_données!$C$178</c:f>
              <c:numCache>
                <c:formatCode>General</c:formatCode>
                <c:ptCount val="1"/>
                <c:pt idx="0">
                  <c:v>50</c:v>
                </c:pt>
              </c:numCache>
            </c:numRef>
          </c:val>
          <c:extLst>
            <c:ext xmlns:c16="http://schemas.microsoft.com/office/drawing/2014/chart" uri="{C3380CC4-5D6E-409C-BE32-E72D297353CC}">
              <c16:uniqueId val="{00000001-251E-4DD3-A4EA-AE0CB9EEDF47}"/>
            </c:ext>
          </c:extLst>
        </c:ser>
        <c:ser>
          <c:idx val="2"/>
          <c:order val="2"/>
          <c:tx>
            <c:strRef>
              <c:f>Analyse_données!$B$179</c:f>
              <c:strCache>
                <c:ptCount val="1"/>
                <c:pt idx="0">
                  <c:v>Iris-virginica</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Analyse_données!$C$176</c:f>
              <c:strCache>
                <c:ptCount val="1"/>
                <c:pt idx="0">
                  <c:v>Effectifs</c:v>
                </c:pt>
              </c:strCache>
            </c:strRef>
          </c:cat>
          <c:val>
            <c:numRef>
              <c:f>Analyse_données!$C$179</c:f>
              <c:numCache>
                <c:formatCode>General</c:formatCode>
                <c:ptCount val="1"/>
                <c:pt idx="0">
                  <c:v>50</c:v>
                </c:pt>
              </c:numCache>
            </c:numRef>
          </c:val>
          <c:extLst>
            <c:ext xmlns:c16="http://schemas.microsoft.com/office/drawing/2014/chart" uri="{C3380CC4-5D6E-409C-BE32-E72D297353CC}">
              <c16:uniqueId val="{00000002-251E-4DD3-A4EA-AE0CB9EEDF47}"/>
            </c:ext>
          </c:extLst>
        </c:ser>
        <c:dLbls>
          <c:showLegendKey val="0"/>
          <c:showVal val="0"/>
          <c:showCatName val="0"/>
          <c:showSerName val="0"/>
          <c:showPercent val="0"/>
          <c:showBubbleSize val="0"/>
        </c:dLbls>
        <c:gapWidth val="150"/>
        <c:axId val="661217264"/>
        <c:axId val="661219232"/>
      </c:barChart>
      <c:valAx>
        <c:axId val="661219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61217264"/>
        <c:crossBetween val="between"/>
      </c:valAx>
      <c:catAx>
        <c:axId val="66121726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61219232"/>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Fréquences des especes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000000000000001E-2"/>
          <c:y val="0.17374999999999999"/>
          <c:w val="0.93888888888888888"/>
          <c:h val="0.66016149023038784"/>
        </c:manualLayout>
      </c:layout>
      <c:pie3DChart>
        <c:varyColors val="1"/>
        <c:ser>
          <c:idx val="0"/>
          <c:order val="0"/>
          <c:tx>
            <c:strRef>
              <c:f>Analyse_données!$D$176</c:f>
              <c:strCache>
                <c:ptCount val="1"/>
                <c:pt idx="0">
                  <c:v>Fréquences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Analyse_données!$B$177:$B$179</c:f>
              <c:strCache>
                <c:ptCount val="3"/>
                <c:pt idx="0">
                  <c:v>Iris-setosa</c:v>
                </c:pt>
                <c:pt idx="1">
                  <c:v>Iris-versicolor</c:v>
                </c:pt>
                <c:pt idx="2">
                  <c:v>Iris-virginica</c:v>
                </c:pt>
              </c:strCache>
            </c:strRef>
          </c:cat>
          <c:val>
            <c:numRef>
              <c:f>Analyse_données!$D$177:$D$179</c:f>
              <c:numCache>
                <c:formatCode>General</c:formatCode>
                <c:ptCount val="3"/>
                <c:pt idx="0">
                  <c:v>33.333333333333329</c:v>
                </c:pt>
                <c:pt idx="1">
                  <c:v>33.333333333333329</c:v>
                </c:pt>
                <c:pt idx="2">
                  <c:v>33.333333333333329</c:v>
                </c:pt>
              </c:numCache>
            </c:numRef>
          </c:val>
          <c:extLst>
            <c:ext xmlns:c16="http://schemas.microsoft.com/office/drawing/2014/chart" uri="{C3380CC4-5D6E-409C-BE32-E72D297353CC}">
              <c16:uniqueId val="{00000000-E49A-417F-8298-3E2C3DED5F70}"/>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Effectif des tailles des Pétales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Analyse_données!$C$212</c:f>
              <c:strCache>
                <c:ptCount val="1"/>
                <c:pt idx="0">
                  <c:v>ni</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Analyse_données!$B$213:$B$215</c:f>
              <c:strCache>
                <c:ptCount val="3"/>
                <c:pt idx="0">
                  <c:v>Petite</c:v>
                </c:pt>
                <c:pt idx="1">
                  <c:v>Grande</c:v>
                </c:pt>
                <c:pt idx="2">
                  <c:v>Moyenne</c:v>
                </c:pt>
              </c:strCache>
            </c:strRef>
          </c:cat>
          <c:val>
            <c:numRef>
              <c:f>Analyse_données!$C$213:$C$215</c:f>
              <c:numCache>
                <c:formatCode>General</c:formatCode>
                <c:ptCount val="3"/>
                <c:pt idx="0">
                  <c:v>50</c:v>
                </c:pt>
                <c:pt idx="1">
                  <c:v>87</c:v>
                </c:pt>
                <c:pt idx="2">
                  <c:v>13</c:v>
                </c:pt>
              </c:numCache>
            </c:numRef>
          </c:val>
          <c:extLst>
            <c:ext xmlns:c16="http://schemas.microsoft.com/office/drawing/2014/chart" uri="{C3380CC4-5D6E-409C-BE32-E72D297353CC}">
              <c16:uniqueId val="{00000000-BED3-49C2-84AF-F8DBE340E8CA}"/>
            </c:ext>
          </c:extLst>
        </c:ser>
        <c:dLbls>
          <c:dLblPos val="outEnd"/>
          <c:showLegendKey val="0"/>
          <c:showVal val="1"/>
          <c:showCatName val="0"/>
          <c:showSerName val="0"/>
          <c:showPercent val="0"/>
          <c:showBubbleSize val="0"/>
        </c:dLbls>
        <c:gapWidth val="100"/>
        <c:overlap val="-24"/>
        <c:axId val="558564320"/>
        <c:axId val="558564648"/>
      </c:barChart>
      <c:catAx>
        <c:axId val="5585643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Taille des Pétales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58564648"/>
        <c:crosses val="autoZero"/>
        <c:auto val="1"/>
        <c:lblAlgn val="ctr"/>
        <c:lblOffset val="100"/>
        <c:noMultiLvlLbl val="0"/>
      </c:catAx>
      <c:valAx>
        <c:axId val="5585646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effactifs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585643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Effectifs en fonction de la taille des pétales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bar"/>
        <c:grouping val="clustered"/>
        <c:varyColors val="0"/>
        <c:ser>
          <c:idx val="0"/>
          <c:order val="0"/>
          <c:tx>
            <c:strRef>
              <c:f>Analyse_données!$B$213</c:f>
              <c:strCache>
                <c:ptCount val="1"/>
                <c:pt idx="0">
                  <c:v>Petite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Analyse_données!$C$212</c:f>
              <c:strCache>
                <c:ptCount val="1"/>
                <c:pt idx="0">
                  <c:v>ni</c:v>
                </c:pt>
              </c:strCache>
            </c:strRef>
          </c:cat>
          <c:val>
            <c:numRef>
              <c:f>Analyse_données!$C$213</c:f>
              <c:numCache>
                <c:formatCode>General</c:formatCode>
                <c:ptCount val="1"/>
                <c:pt idx="0">
                  <c:v>50</c:v>
                </c:pt>
              </c:numCache>
            </c:numRef>
          </c:val>
          <c:extLst>
            <c:ext xmlns:c16="http://schemas.microsoft.com/office/drawing/2014/chart" uri="{C3380CC4-5D6E-409C-BE32-E72D297353CC}">
              <c16:uniqueId val="{00000000-9AD9-4A86-B977-760264805BE8}"/>
            </c:ext>
          </c:extLst>
        </c:ser>
        <c:ser>
          <c:idx val="1"/>
          <c:order val="1"/>
          <c:tx>
            <c:strRef>
              <c:f>Analyse_données!$B$214</c:f>
              <c:strCache>
                <c:ptCount val="1"/>
                <c:pt idx="0">
                  <c:v>Grande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Analyse_données!$C$212</c:f>
              <c:strCache>
                <c:ptCount val="1"/>
                <c:pt idx="0">
                  <c:v>ni</c:v>
                </c:pt>
              </c:strCache>
            </c:strRef>
          </c:cat>
          <c:val>
            <c:numRef>
              <c:f>Analyse_données!$C$214</c:f>
              <c:numCache>
                <c:formatCode>General</c:formatCode>
                <c:ptCount val="1"/>
                <c:pt idx="0">
                  <c:v>87</c:v>
                </c:pt>
              </c:numCache>
            </c:numRef>
          </c:val>
          <c:extLst>
            <c:ext xmlns:c16="http://schemas.microsoft.com/office/drawing/2014/chart" uri="{C3380CC4-5D6E-409C-BE32-E72D297353CC}">
              <c16:uniqueId val="{00000001-9AD9-4A86-B977-760264805BE8}"/>
            </c:ext>
          </c:extLst>
        </c:ser>
        <c:ser>
          <c:idx val="2"/>
          <c:order val="2"/>
          <c:tx>
            <c:strRef>
              <c:f>Analyse_données!$B$215</c:f>
              <c:strCache>
                <c:ptCount val="1"/>
                <c:pt idx="0">
                  <c:v>Moyenne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Analyse_données!$C$212</c:f>
              <c:strCache>
                <c:ptCount val="1"/>
                <c:pt idx="0">
                  <c:v>ni</c:v>
                </c:pt>
              </c:strCache>
            </c:strRef>
          </c:cat>
          <c:val>
            <c:numRef>
              <c:f>Analyse_données!$C$215</c:f>
              <c:numCache>
                <c:formatCode>General</c:formatCode>
                <c:ptCount val="1"/>
                <c:pt idx="0">
                  <c:v>13</c:v>
                </c:pt>
              </c:numCache>
            </c:numRef>
          </c:val>
          <c:extLst>
            <c:ext xmlns:c16="http://schemas.microsoft.com/office/drawing/2014/chart" uri="{C3380CC4-5D6E-409C-BE32-E72D297353CC}">
              <c16:uniqueId val="{00000002-9AD9-4A86-B977-760264805BE8}"/>
            </c:ext>
          </c:extLst>
        </c:ser>
        <c:dLbls>
          <c:showLegendKey val="0"/>
          <c:showVal val="0"/>
          <c:showCatName val="0"/>
          <c:showSerName val="0"/>
          <c:showPercent val="0"/>
          <c:showBubbleSize val="0"/>
        </c:dLbls>
        <c:gapWidth val="115"/>
        <c:overlap val="-20"/>
        <c:axId val="691776568"/>
        <c:axId val="691778536"/>
      </c:barChart>
      <c:catAx>
        <c:axId val="6917765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Effectifs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91778536"/>
        <c:crosses val="autoZero"/>
        <c:auto val="1"/>
        <c:lblAlgn val="ctr"/>
        <c:lblOffset val="100"/>
        <c:noMultiLvlLbl val="0"/>
      </c:catAx>
      <c:valAx>
        <c:axId val="6917785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917765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Frequence par taille des pétales(%)</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Analyse_données!$D$212</c:f>
              <c:strCache>
                <c:ptCount val="1"/>
                <c:pt idx="0">
                  <c:v>Frequence(%)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8F4-4E25-9034-4F7D03EB5A1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8F4-4E25-9034-4F7D03EB5A1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8F4-4E25-9034-4F7D03EB5A1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fr-FR"/>
                </a:p>
              </c:txPr>
              <c:dLblPos val="outEnd"/>
              <c:showLegendKey val="0"/>
              <c:showVal val="0"/>
              <c:showCatName val="1"/>
              <c:showSerName val="0"/>
              <c:showPercent val="1"/>
              <c:showBubbleSize val="0"/>
              <c:extLst>
                <c:ext xmlns:c16="http://schemas.microsoft.com/office/drawing/2014/chart" uri="{C3380CC4-5D6E-409C-BE32-E72D297353CC}">
                  <c16:uniqueId val="{00000001-88F4-4E25-9034-4F7D03EB5A1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fr-FR"/>
                </a:p>
              </c:txPr>
              <c:dLblPos val="outEnd"/>
              <c:showLegendKey val="0"/>
              <c:showVal val="0"/>
              <c:showCatName val="1"/>
              <c:showSerName val="0"/>
              <c:showPercent val="1"/>
              <c:showBubbleSize val="0"/>
              <c:extLst>
                <c:ext xmlns:c16="http://schemas.microsoft.com/office/drawing/2014/chart" uri="{C3380CC4-5D6E-409C-BE32-E72D297353CC}">
                  <c16:uniqueId val="{00000002-88F4-4E25-9034-4F7D03EB5A1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fr-FR"/>
                </a:p>
              </c:txPr>
              <c:dLblPos val="outEnd"/>
              <c:showLegendKey val="0"/>
              <c:showVal val="0"/>
              <c:showCatName val="1"/>
              <c:showSerName val="0"/>
              <c:showPercent val="1"/>
              <c:showBubbleSize val="0"/>
              <c:extLst>
                <c:ext xmlns:c16="http://schemas.microsoft.com/office/drawing/2014/chart" uri="{C3380CC4-5D6E-409C-BE32-E72D297353CC}">
                  <c16:uniqueId val="{00000003-88F4-4E25-9034-4F7D03EB5A11}"/>
                </c:ext>
              </c:extLst>
            </c:dLbl>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Analyse_données!$B$213:$B$215</c:f>
              <c:strCache>
                <c:ptCount val="3"/>
                <c:pt idx="0">
                  <c:v>Petite</c:v>
                </c:pt>
                <c:pt idx="1">
                  <c:v>Grande</c:v>
                </c:pt>
                <c:pt idx="2">
                  <c:v>Moyenne</c:v>
                </c:pt>
              </c:strCache>
            </c:strRef>
          </c:cat>
          <c:val>
            <c:numRef>
              <c:f>Analyse_données!$D$213:$D$215</c:f>
              <c:numCache>
                <c:formatCode>General</c:formatCode>
                <c:ptCount val="3"/>
                <c:pt idx="0">
                  <c:v>33.333333333333329</c:v>
                </c:pt>
                <c:pt idx="1">
                  <c:v>57.999999999999993</c:v>
                </c:pt>
                <c:pt idx="2">
                  <c:v>8.6666666666666679</c:v>
                </c:pt>
              </c:numCache>
            </c:numRef>
          </c:val>
          <c:extLst>
            <c:ext xmlns:c16="http://schemas.microsoft.com/office/drawing/2014/chart" uri="{C3380CC4-5D6E-409C-BE32-E72D297353CC}">
              <c16:uniqueId val="{00000000-88F4-4E25-9034-4F7D03EB5A11}"/>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Largeur des sépales en fonction de la longueur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scatterChart>
        <c:scatterStyle val="lineMarker"/>
        <c:varyColors val="0"/>
        <c:ser>
          <c:idx val="0"/>
          <c:order val="0"/>
          <c:tx>
            <c:strRef>
              <c:f>donnees!$C$1</c:f>
              <c:strCache>
                <c:ptCount val="1"/>
                <c:pt idx="0">
                  <c:v>SepalWidthCm</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donnees!$B$2:$B$151</c:f>
              <c:numCache>
                <c:formatCode>General</c:formatCode>
                <c:ptCount val="150"/>
                <c:pt idx="0">
                  <c:v>5.0999999999999996</c:v>
                </c:pt>
                <c:pt idx="1">
                  <c:v>4.9000000000000004</c:v>
                </c:pt>
                <c:pt idx="2">
                  <c:v>4.7</c:v>
                </c:pt>
                <c:pt idx="3">
                  <c:v>4.5999999999999996</c:v>
                </c:pt>
                <c:pt idx="4">
                  <c:v>5</c:v>
                </c:pt>
                <c:pt idx="5">
                  <c:v>5.4</c:v>
                </c:pt>
                <c:pt idx="6">
                  <c:v>4.5999999999999996</c:v>
                </c:pt>
                <c:pt idx="7">
                  <c:v>5</c:v>
                </c:pt>
                <c:pt idx="8">
                  <c:v>4.4000000000000004</c:v>
                </c:pt>
                <c:pt idx="9">
                  <c:v>4.9000000000000004</c:v>
                </c:pt>
                <c:pt idx="10">
                  <c:v>5.4</c:v>
                </c:pt>
                <c:pt idx="11">
                  <c:v>4.8</c:v>
                </c:pt>
                <c:pt idx="12">
                  <c:v>4.8</c:v>
                </c:pt>
                <c:pt idx="13">
                  <c:v>4.3</c:v>
                </c:pt>
                <c:pt idx="14">
                  <c:v>5.8</c:v>
                </c:pt>
                <c:pt idx="15">
                  <c:v>5.7</c:v>
                </c:pt>
                <c:pt idx="16">
                  <c:v>5.4</c:v>
                </c:pt>
                <c:pt idx="17">
                  <c:v>5.0999999999999996</c:v>
                </c:pt>
                <c:pt idx="18">
                  <c:v>5.7</c:v>
                </c:pt>
                <c:pt idx="19">
                  <c:v>5.0999999999999996</c:v>
                </c:pt>
                <c:pt idx="20">
                  <c:v>5.4</c:v>
                </c:pt>
                <c:pt idx="21">
                  <c:v>5.0999999999999996</c:v>
                </c:pt>
                <c:pt idx="22">
                  <c:v>4.5999999999999996</c:v>
                </c:pt>
                <c:pt idx="23">
                  <c:v>5.0999999999999996</c:v>
                </c:pt>
                <c:pt idx="24">
                  <c:v>4.8</c:v>
                </c:pt>
                <c:pt idx="25">
                  <c:v>5</c:v>
                </c:pt>
                <c:pt idx="26">
                  <c:v>5</c:v>
                </c:pt>
                <c:pt idx="27">
                  <c:v>5.2</c:v>
                </c:pt>
                <c:pt idx="28">
                  <c:v>5.2</c:v>
                </c:pt>
                <c:pt idx="29">
                  <c:v>4.7</c:v>
                </c:pt>
                <c:pt idx="30">
                  <c:v>4.8</c:v>
                </c:pt>
                <c:pt idx="31">
                  <c:v>5.4</c:v>
                </c:pt>
                <c:pt idx="32">
                  <c:v>5.2</c:v>
                </c:pt>
                <c:pt idx="33">
                  <c:v>5.5</c:v>
                </c:pt>
                <c:pt idx="34">
                  <c:v>4.9000000000000004</c:v>
                </c:pt>
                <c:pt idx="35">
                  <c:v>5</c:v>
                </c:pt>
                <c:pt idx="36">
                  <c:v>5.5</c:v>
                </c:pt>
                <c:pt idx="37">
                  <c:v>4.9000000000000004</c:v>
                </c:pt>
                <c:pt idx="38">
                  <c:v>4.4000000000000004</c:v>
                </c:pt>
                <c:pt idx="39">
                  <c:v>5.0999999999999996</c:v>
                </c:pt>
                <c:pt idx="40">
                  <c:v>5</c:v>
                </c:pt>
                <c:pt idx="41">
                  <c:v>4.5</c:v>
                </c:pt>
                <c:pt idx="42">
                  <c:v>4.4000000000000004</c:v>
                </c:pt>
                <c:pt idx="43">
                  <c:v>5</c:v>
                </c:pt>
                <c:pt idx="44">
                  <c:v>5.0999999999999996</c:v>
                </c:pt>
                <c:pt idx="45">
                  <c:v>4.8</c:v>
                </c:pt>
                <c:pt idx="46">
                  <c:v>5.0999999999999996</c:v>
                </c:pt>
                <c:pt idx="47">
                  <c:v>4.5999999999999996</c:v>
                </c:pt>
                <c:pt idx="48">
                  <c:v>5.3</c:v>
                </c:pt>
                <c:pt idx="49">
                  <c:v>5</c:v>
                </c:pt>
                <c:pt idx="50">
                  <c:v>7</c:v>
                </c:pt>
                <c:pt idx="51">
                  <c:v>6.4</c:v>
                </c:pt>
                <c:pt idx="52">
                  <c:v>6.9</c:v>
                </c:pt>
                <c:pt idx="53">
                  <c:v>5.5</c:v>
                </c:pt>
                <c:pt idx="54">
                  <c:v>6.5</c:v>
                </c:pt>
                <c:pt idx="55">
                  <c:v>5.7</c:v>
                </c:pt>
                <c:pt idx="56">
                  <c:v>6.3</c:v>
                </c:pt>
                <c:pt idx="57">
                  <c:v>4.9000000000000004</c:v>
                </c:pt>
                <c:pt idx="58">
                  <c:v>6.6</c:v>
                </c:pt>
                <c:pt idx="59">
                  <c:v>5.2</c:v>
                </c:pt>
                <c:pt idx="60">
                  <c:v>5</c:v>
                </c:pt>
                <c:pt idx="61">
                  <c:v>5.9</c:v>
                </c:pt>
                <c:pt idx="62">
                  <c:v>6</c:v>
                </c:pt>
                <c:pt idx="63">
                  <c:v>6.1</c:v>
                </c:pt>
                <c:pt idx="64">
                  <c:v>5.6</c:v>
                </c:pt>
                <c:pt idx="65">
                  <c:v>6.7</c:v>
                </c:pt>
                <c:pt idx="66">
                  <c:v>5.6</c:v>
                </c:pt>
                <c:pt idx="67">
                  <c:v>5.8</c:v>
                </c:pt>
                <c:pt idx="68">
                  <c:v>6.2</c:v>
                </c:pt>
                <c:pt idx="69">
                  <c:v>5.6</c:v>
                </c:pt>
                <c:pt idx="70">
                  <c:v>5.9</c:v>
                </c:pt>
                <c:pt idx="71">
                  <c:v>6.1</c:v>
                </c:pt>
                <c:pt idx="72">
                  <c:v>6.3</c:v>
                </c:pt>
                <c:pt idx="73">
                  <c:v>6.1</c:v>
                </c:pt>
                <c:pt idx="74">
                  <c:v>6.4</c:v>
                </c:pt>
                <c:pt idx="75">
                  <c:v>6.6</c:v>
                </c:pt>
                <c:pt idx="76">
                  <c:v>6.8</c:v>
                </c:pt>
                <c:pt idx="77">
                  <c:v>6.7</c:v>
                </c:pt>
                <c:pt idx="78">
                  <c:v>6</c:v>
                </c:pt>
                <c:pt idx="79">
                  <c:v>5.7</c:v>
                </c:pt>
                <c:pt idx="80">
                  <c:v>5.5</c:v>
                </c:pt>
                <c:pt idx="81">
                  <c:v>5.5</c:v>
                </c:pt>
                <c:pt idx="82">
                  <c:v>5.8</c:v>
                </c:pt>
                <c:pt idx="83">
                  <c:v>6</c:v>
                </c:pt>
                <c:pt idx="84">
                  <c:v>5.4</c:v>
                </c:pt>
                <c:pt idx="85">
                  <c:v>6</c:v>
                </c:pt>
                <c:pt idx="86">
                  <c:v>6.7</c:v>
                </c:pt>
                <c:pt idx="87">
                  <c:v>6.3</c:v>
                </c:pt>
                <c:pt idx="88">
                  <c:v>5.6</c:v>
                </c:pt>
                <c:pt idx="89">
                  <c:v>5.5</c:v>
                </c:pt>
                <c:pt idx="90">
                  <c:v>5.5</c:v>
                </c:pt>
                <c:pt idx="91">
                  <c:v>6.1</c:v>
                </c:pt>
                <c:pt idx="92">
                  <c:v>5.8</c:v>
                </c:pt>
                <c:pt idx="93">
                  <c:v>5</c:v>
                </c:pt>
                <c:pt idx="94">
                  <c:v>5.6</c:v>
                </c:pt>
                <c:pt idx="95">
                  <c:v>5.7</c:v>
                </c:pt>
                <c:pt idx="96">
                  <c:v>5.7</c:v>
                </c:pt>
                <c:pt idx="97">
                  <c:v>6.2</c:v>
                </c:pt>
                <c:pt idx="98">
                  <c:v>5.0999999999999996</c:v>
                </c:pt>
                <c:pt idx="99">
                  <c:v>5.7</c:v>
                </c:pt>
                <c:pt idx="100">
                  <c:v>6.3</c:v>
                </c:pt>
                <c:pt idx="101">
                  <c:v>5.8</c:v>
                </c:pt>
                <c:pt idx="102">
                  <c:v>7.1</c:v>
                </c:pt>
                <c:pt idx="103">
                  <c:v>6.3</c:v>
                </c:pt>
                <c:pt idx="104">
                  <c:v>6.5</c:v>
                </c:pt>
                <c:pt idx="105">
                  <c:v>7.6</c:v>
                </c:pt>
                <c:pt idx="106">
                  <c:v>4.9000000000000004</c:v>
                </c:pt>
                <c:pt idx="107">
                  <c:v>7.3</c:v>
                </c:pt>
                <c:pt idx="108">
                  <c:v>6.7</c:v>
                </c:pt>
                <c:pt idx="109">
                  <c:v>7.2</c:v>
                </c:pt>
                <c:pt idx="110">
                  <c:v>6.5</c:v>
                </c:pt>
                <c:pt idx="111">
                  <c:v>6.4</c:v>
                </c:pt>
                <c:pt idx="112">
                  <c:v>6.8</c:v>
                </c:pt>
                <c:pt idx="113">
                  <c:v>5.7</c:v>
                </c:pt>
                <c:pt idx="114">
                  <c:v>5.8</c:v>
                </c:pt>
                <c:pt idx="115">
                  <c:v>6.4</c:v>
                </c:pt>
                <c:pt idx="116">
                  <c:v>6.5</c:v>
                </c:pt>
                <c:pt idx="117">
                  <c:v>7.7</c:v>
                </c:pt>
                <c:pt idx="118">
                  <c:v>7.7</c:v>
                </c:pt>
                <c:pt idx="119">
                  <c:v>6</c:v>
                </c:pt>
                <c:pt idx="120">
                  <c:v>6.9</c:v>
                </c:pt>
                <c:pt idx="121">
                  <c:v>5.6</c:v>
                </c:pt>
                <c:pt idx="122">
                  <c:v>7.7</c:v>
                </c:pt>
                <c:pt idx="123">
                  <c:v>6.3</c:v>
                </c:pt>
                <c:pt idx="124">
                  <c:v>6.7</c:v>
                </c:pt>
                <c:pt idx="125">
                  <c:v>7.2</c:v>
                </c:pt>
                <c:pt idx="126">
                  <c:v>6.2</c:v>
                </c:pt>
                <c:pt idx="127">
                  <c:v>6.1</c:v>
                </c:pt>
                <c:pt idx="128">
                  <c:v>6.4</c:v>
                </c:pt>
                <c:pt idx="129">
                  <c:v>7.2</c:v>
                </c:pt>
                <c:pt idx="130">
                  <c:v>7.4</c:v>
                </c:pt>
                <c:pt idx="131">
                  <c:v>7.9</c:v>
                </c:pt>
                <c:pt idx="132">
                  <c:v>6.4</c:v>
                </c:pt>
                <c:pt idx="133">
                  <c:v>6.3</c:v>
                </c:pt>
                <c:pt idx="134">
                  <c:v>6.1</c:v>
                </c:pt>
                <c:pt idx="135">
                  <c:v>7.7</c:v>
                </c:pt>
                <c:pt idx="136">
                  <c:v>6.3</c:v>
                </c:pt>
                <c:pt idx="137">
                  <c:v>6.4</c:v>
                </c:pt>
                <c:pt idx="138">
                  <c:v>6</c:v>
                </c:pt>
                <c:pt idx="139">
                  <c:v>6.9</c:v>
                </c:pt>
                <c:pt idx="140">
                  <c:v>6.7</c:v>
                </c:pt>
                <c:pt idx="141">
                  <c:v>6.9</c:v>
                </c:pt>
                <c:pt idx="142">
                  <c:v>5.8</c:v>
                </c:pt>
                <c:pt idx="143">
                  <c:v>6.8</c:v>
                </c:pt>
                <c:pt idx="144">
                  <c:v>6.7</c:v>
                </c:pt>
                <c:pt idx="145">
                  <c:v>6.7</c:v>
                </c:pt>
                <c:pt idx="146">
                  <c:v>6.3</c:v>
                </c:pt>
                <c:pt idx="147">
                  <c:v>6.5</c:v>
                </c:pt>
                <c:pt idx="148">
                  <c:v>6.2</c:v>
                </c:pt>
                <c:pt idx="149">
                  <c:v>5.9</c:v>
                </c:pt>
              </c:numCache>
            </c:numRef>
          </c:xVal>
          <c:yVal>
            <c:numRef>
              <c:f>donnees!$C$2:$C$151</c:f>
              <c:numCache>
                <c:formatCode>General</c:formatCode>
                <c:ptCount val="150"/>
                <c:pt idx="0">
                  <c:v>3.5</c:v>
                </c:pt>
                <c:pt idx="1">
                  <c:v>3</c:v>
                </c:pt>
                <c:pt idx="2">
                  <c:v>3.2</c:v>
                </c:pt>
                <c:pt idx="3">
                  <c:v>3.1</c:v>
                </c:pt>
                <c:pt idx="4">
                  <c:v>3.6</c:v>
                </c:pt>
                <c:pt idx="5">
                  <c:v>3.9</c:v>
                </c:pt>
                <c:pt idx="6">
                  <c:v>3.4</c:v>
                </c:pt>
                <c:pt idx="7">
                  <c:v>3.4</c:v>
                </c:pt>
                <c:pt idx="8">
                  <c:v>2.9</c:v>
                </c:pt>
                <c:pt idx="9">
                  <c:v>3.1</c:v>
                </c:pt>
                <c:pt idx="10">
                  <c:v>3.7</c:v>
                </c:pt>
                <c:pt idx="11">
                  <c:v>3.4</c:v>
                </c:pt>
                <c:pt idx="12">
                  <c:v>3</c:v>
                </c:pt>
                <c:pt idx="13">
                  <c:v>3</c:v>
                </c:pt>
                <c:pt idx="14">
                  <c:v>4</c:v>
                </c:pt>
                <c:pt idx="15">
                  <c:v>4.4000000000000004</c:v>
                </c:pt>
                <c:pt idx="16">
                  <c:v>3.9</c:v>
                </c:pt>
                <c:pt idx="17">
                  <c:v>3.5</c:v>
                </c:pt>
                <c:pt idx="18">
                  <c:v>3.8</c:v>
                </c:pt>
                <c:pt idx="19">
                  <c:v>3.8</c:v>
                </c:pt>
                <c:pt idx="20">
                  <c:v>3.4</c:v>
                </c:pt>
                <c:pt idx="21">
                  <c:v>3.7</c:v>
                </c:pt>
                <c:pt idx="22">
                  <c:v>3.6</c:v>
                </c:pt>
                <c:pt idx="23">
                  <c:v>3.3</c:v>
                </c:pt>
                <c:pt idx="24">
                  <c:v>3.4</c:v>
                </c:pt>
                <c:pt idx="25">
                  <c:v>3</c:v>
                </c:pt>
                <c:pt idx="26">
                  <c:v>3.4</c:v>
                </c:pt>
                <c:pt idx="27">
                  <c:v>3.5</c:v>
                </c:pt>
                <c:pt idx="28">
                  <c:v>3.4</c:v>
                </c:pt>
                <c:pt idx="29">
                  <c:v>3.2</c:v>
                </c:pt>
                <c:pt idx="30">
                  <c:v>3.1</c:v>
                </c:pt>
                <c:pt idx="31">
                  <c:v>3.4</c:v>
                </c:pt>
                <c:pt idx="32">
                  <c:v>4.0999999999999996</c:v>
                </c:pt>
                <c:pt idx="33">
                  <c:v>4.2</c:v>
                </c:pt>
                <c:pt idx="34">
                  <c:v>3.1</c:v>
                </c:pt>
                <c:pt idx="35">
                  <c:v>3.2</c:v>
                </c:pt>
                <c:pt idx="36">
                  <c:v>3.5</c:v>
                </c:pt>
                <c:pt idx="37">
                  <c:v>3.1</c:v>
                </c:pt>
                <c:pt idx="38">
                  <c:v>3</c:v>
                </c:pt>
                <c:pt idx="39">
                  <c:v>3.4</c:v>
                </c:pt>
                <c:pt idx="40">
                  <c:v>3.5</c:v>
                </c:pt>
                <c:pt idx="41">
                  <c:v>2.2999999999999998</c:v>
                </c:pt>
                <c:pt idx="42">
                  <c:v>3.2</c:v>
                </c:pt>
                <c:pt idx="43">
                  <c:v>3.5</c:v>
                </c:pt>
                <c:pt idx="44">
                  <c:v>3.8</c:v>
                </c:pt>
                <c:pt idx="45">
                  <c:v>3</c:v>
                </c:pt>
                <c:pt idx="46">
                  <c:v>3.8</c:v>
                </c:pt>
                <c:pt idx="47">
                  <c:v>3.2</c:v>
                </c:pt>
                <c:pt idx="48">
                  <c:v>3.7</c:v>
                </c:pt>
                <c:pt idx="49">
                  <c:v>3.3</c:v>
                </c:pt>
                <c:pt idx="50">
                  <c:v>3.2</c:v>
                </c:pt>
                <c:pt idx="51">
                  <c:v>3.2</c:v>
                </c:pt>
                <c:pt idx="52">
                  <c:v>3.1</c:v>
                </c:pt>
                <c:pt idx="53">
                  <c:v>2.2999999999999998</c:v>
                </c:pt>
                <c:pt idx="54">
                  <c:v>2.8</c:v>
                </c:pt>
                <c:pt idx="55">
                  <c:v>2.8</c:v>
                </c:pt>
                <c:pt idx="56">
                  <c:v>3.3</c:v>
                </c:pt>
                <c:pt idx="57">
                  <c:v>2.4</c:v>
                </c:pt>
                <c:pt idx="58">
                  <c:v>2.9</c:v>
                </c:pt>
                <c:pt idx="59">
                  <c:v>2.7</c:v>
                </c:pt>
                <c:pt idx="60">
                  <c:v>2</c:v>
                </c:pt>
                <c:pt idx="61">
                  <c:v>3</c:v>
                </c:pt>
                <c:pt idx="62">
                  <c:v>2.2000000000000002</c:v>
                </c:pt>
                <c:pt idx="63">
                  <c:v>2.9</c:v>
                </c:pt>
                <c:pt idx="64">
                  <c:v>2.9</c:v>
                </c:pt>
                <c:pt idx="65">
                  <c:v>3.1</c:v>
                </c:pt>
                <c:pt idx="66">
                  <c:v>3</c:v>
                </c:pt>
                <c:pt idx="67">
                  <c:v>2.7</c:v>
                </c:pt>
                <c:pt idx="68">
                  <c:v>2.2000000000000002</c:v>
                </c:pt>
                <c:pt idx="69">
                  <c:v>2.5</c:v>
                </c:pt>
                <c:pt idx="70">
                  <c:v>3.2</c:v>
                </c:pt>
                <c:pt idx="71">
                  <c:v>2.8</c:v>
                </c:pt>
                <c:pt idx="72">
                  <c:v>2.5</c:v>
                </c:pt>
                <c:pt idx="73">
                  <c:v>2.8</c:v>
                </c:pt>
                <c:pt idx="74">
                  <c:v>2.9</c:v>
                </c:pt>
                <c:pt idx="75">
                  <c:v>3</c:v>
                </c:pt>
                <c:pt idx="76">
                  <c:v>2.8</c:v>
                </c:pt>
                <c:pt idx="77">
                  <c:v>3</c:v>
                </c:pt>
                <c:pt idx="78">
                  <c:v>2.9</c:v>
                </c:pt>
                <c:pt idx="79">
                  <c:v>2.6</c:v>
                </c:pt>
                <c:pt idx="80">
                  <c:v>2.4</c:v>
                </c:pt>
                <c:pt idx="81">
                  <c:v>2.4</c:v>
                </c:pt>
                <c:pt idx="82">
                  <c:v>2.7</c:v>
                </c:pt>
                <c:pt idx="83">
                  <c:v>2.7</c:v>
                </c:pt>
                <c:pt idx="84">
                  <c:v>3</c:v>
                </c:pt>
                <c:pt idx="85">
                  <c:v>3.4</c:v>
                </c:pt>
                <c:pt idx="86">
                  <c:v>3.1</c:v>
                </c:pt>
                <c:pt idx="87">
                  <c:v>2.2999999999999998</c:v>
                </c:pt>
                <c:pt idx="88">
                  <c:v>3</c:v>
                </c:pt>
                <c:pt idx="89">
                  <c:v>2.5</c:v>
                </c:pt>
                <c:pt idx="90">
                  <c:v>2.6</c:v>
                </c:pt>
                <c:pt idx="91">
                  <c:v>3</c:v>
                </c:pt>
                <c:pt idx="92">
                  <c:v>2.6</c:v>
                </c:pt>
                <c:pt idx="93">
                  <c:v>2.2999999999999998</c:v>
                </c:pt>
                <c:pt idx="94">
                  <c:v>2.7</c:v>
                </c:pt>
                <c:pt idx="95">
                  <c:v>3</c:v>
                </c:pt>
                <c:pt idx="96">
                  <c:v>2.9</c:v>
                </c:pt>
                <c:pt idx="97">
                  <c:v>2.9</c:v>
                </c:pt>
                <c:pt idx="98">
                  <c:v>2.5</c:v>
                </c:pt>
                <c:pt idx="99">
                  <c:v>2.8</c:v>
                </c:pt>
                <c:pt idx="100">
                  <c:v>3.3</c:v>
                </c:pt>
                <c:pt idx="101">
                  <c:v>2.7</c:v>
                </c:pt>
                <c:pt idx="102">
                  <c:v>3</c:v>
                </c:pt>
                <c:pt idx="103">
                  <c:v>2.9</c:v>
                </c:pt>
                <c:pt idx="104">
                  <c:v>3</c:v>
                </c:pt>
                <c:pt idx="105">
                  <c:v>3</c:v>
                </c:pt>
                <c:pt idx="106">
                  <c:v>2.5</c:v>
                </c:pt>
                <c:pt idx="107">
                  <c:v>2.9</c:v>
                </c:pt>
                <c:pt idx="108">
                  <c:v>2.5</c:v>
                </c:pt>
                <c:pt idx="109">
                  <c:v>3.6</c:v>
                </c:pt>
                <c:pt idx="110">
                  <c:v>3.2</c:v>
                </c:pt>
                <c:pt idx="111">
                  <c:v>2.7</c:v>
                </c:pt>
                <c:pt idx="112">
                  <c:v>3</c:v>
                </c:pt>
                <c:pt idx="113">
                  <c:v>2.5</c:v>
                </c:pt>
                <c:pt idx="114">
                  <c:v>2.8</c:v>
                </c:pt>
                <c:pt idx="115">
                  <c:v>3.2</c:v>
                </c:pt>
                <c:pt idx="116">
                  <c:v>3</c:v>
                </c:pt>
                <c:pt idx="117">
                  <c:v>3.8</c:v>
                </c:pt>
                <c:pt idx="118">
                  <c:v>2.6</c:v>
                </c:pt>
                <c:pt idx="119">
                  <c:v>2.2000000000000002</c:v>
                </c:pt>
                <c:pt idx="120">
                  <c:v>3.2</c:v>
                </c:pt>
                <c:pt idx="121">
                  <c:v>2.8</c:v>
                </c:pt>
                <c:pt idx="122">
                  <c:v>2.8</c:v>
                </c:pt>
                <c:pt idx="123">
                  <c:v>2.7</c:v>
                </c:pt>
                <c:pt idx="124">
                  <c:v>3.3</c:v>
                </c:pt>
                <c:pt idx="125">
                  <c:v>3.2</c:v>
                </c:pt>
                <c:pt idx="126">
                  <c:v>2.8</c:v>
                </c:pt>
                <c:pt idx="127">
                  <c:v>3</c:v>
                </c:pt>
                <c:pt idx="128">
                  <c:v>2.8</c:v>
                </c:pt>
                <c:pt idx="129">
                  <c:v>3</c:v>
                </c:pt>
                <c:pt idx="130">
                  <c:v>2.8</c:v>
                </c:pt>
                <c:pt idx="131">
                  <c:v>3.8</c:v>
                </c:pt>
                <c:pt idx="132">
                  <c:v>2.8</c:v>
                </c:pt>
                <c:pt idx="133">
                  <c:v>2.8</c:v>
                </c:pt>
                <c:pt idx="134">
                  <c:v>2.6</c:v>
                </c:pt>
                <c:pt idx="135">
                  <c:v>3</c:v>
                </c:pt>
                <c:pt idx="136">
                  <c:v>3.4</c:v>
                </c:pt>
                <c:pt idx="137">
                  <c:v>3.1</c:v>
                </c:pt>
                <c:pt idx="138">
                  <c:v>3</c:v>
                </c:pt>
                <c:pt idx="139">
                  <c:v>3.1</c:v>
                </c:pt>
                <c:pt idx="140">
                  <c:v>3.1</c:v>
                </c:pt>
                <c:pt idx="141">
                  <c:v>3.1</c:v>
                </c:pt>
                <c:pt idx="142">
                  <c:v>2.7</c:v>
                </c:pt>
                <c:pt idx="143">
                  <c:v>3.2</c:v>
                </c:pt>
                <c:pt idx="144">
                  <c:v>3.3</c:v>
                </c:pt>
                <c:pt idx="145">
                  <c:v>3</c:v>
                </c:pt>
                <c:pt idx="146">
                  <c:v>2.5</c:v>
                </c:pt>
                <c:pt idx="147">
                  <c:v>3</c:v>
                </c:pt>
                <c:pt idx="148">
                  <c:v>3.4</c:v>
                </c:pt>
                <c:pt idx="149">
                  <c:v>3</c:v>
                </c:pt>
              </c:numCache>
            </c:numRef>
          </c:yVal>
          <c:smooth val="0"/>
          <c:extLst>
            <c:ext xmlns:c16="http://schemas.microsoft.com/office/drawing/2014/chart" uri="{C3380CC4-5D6E-409C-BE32-E72D297353CC}">
              <c16:uniqueId val="{00000000-78E6-446D-833F-1F9A21CD1D3E}"/>
            </c:ext>
          </c:extLst>
        </c:ser>
        <c:dLbls>
          <c:showLegendKey val="0"/>
          <c:showVal val="0"/>
          <c:showCatName val="0"/>
          <c:showSerName val="0"/>
          <c:showPercent val="0"/>
          <c:showBubbleSize val="0"/>
        </c:dLbls>
        <c:axId val="555613808"/>
        <c:axId val="555605936"/>
      </c:scatterChart>
      <c:valAx>
        <c:axId val="55561380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fr-FR"/>
                  <a:t>Longueur des sépales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555605936"/>
        <c:crosses val="autoZero"/>
        <c:crossBetween val="midCat"/>
      </c:valAx>
      <c:valAx>
        <c:axId val="555605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fr-FR"/>
                  <a:t>Largeur des sépales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555613808"/>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rot="0" spcFirstLastPara="1" vertOverflow="ellipsis" vert="horz" wrap="square" lIns="0" tIns="0" rIns="0" bIns="0" anchor="ctr" anchorCtr="1"/>
          <a:lstStyle/>
          <a:p>
            <a:pPr algn="ctr">
              <a:defRPr/>
            </a:pPr>
            <a:r>
              <a:rPr lang="fr-FR"/>
              <a:t>diagramme en boite des longueur des sépales</a:t>
            </a:r>
          </a:p>
        </cx:rich>
      </cx:tx>
    </cx:title>
    <cx:plotArea>
      <cx:plotAreaRegion>
        <cx:series layoutId="boxWhisker" uniqueId="{3CD36057-032D-4E96-84F8-378AFF9DA184}">
          <cx:tx>
            <cx:txData>
              <cx:f>_xlchart.v1.2</cx:f>
              <cx:v>SepalLengthCm</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tickLabels/>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rot="0" spcFirstLastPara="1" vertOverflow="ellipsis" vert="horz" wrap="square" lIns="0" tIns="0" rIns="0" bIns="0" anchor="ctr" anchorCtr="1"/>
          <a:lstStyle/>
          <a:p>
            <a:pPr algn="ctr">
              <a:defRPr/>
            </a:pPr>
            <a:r>
              <a:rPr lang="fr-FR"/>
              <a:t>Diagramme en boite de la largeur des sépales</a:t>
            </a:r>
          </a:p>
        </cx:rich>
      </cx:tx>
    </cx:title>
    <cx:plotArea>
      <cx:plotAreaRegion>
        <cx:series layoutId="boxWhisker" uniqueId="{CB7CA8F1-DBDD-4E90-8510-04120D65D0D8}">
          <cx:tx>
            <cx:txData>
              <cx:f>_xlchart.v1.6</cx:f>
              <cx:v>SepalWidthCm</cx:v>
            </cx:txData>
          </cx:tx>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rot="0" spcFirstLastPara="1" vertOverflow="ellipsis" vert="horz" wrap="square" lIns="0" tIns="0" rIns="0" bIns="0" anchor="ctr" anchorCtr="1"/>
          <a:lstStyle/>
          <a:p>
            <a:pPr algn="ctr">
              <a:defRPr/>
            </a:pPr>
            <a:r>
              <a:rPr lang="fr-FR"/>
              <a:t>diagramme en boite de la longueur des pétales</a:t>
            </a:r>
          </a:p>
        </cx:rich>
      </cx:tx>
    </cx:title>
    <cx:plotArea>
      <cx:plotAreaRegion>
        <cx:series layoutId="boxWhisker" uniqueId="{8E2F67D1-465B-4063-A98E-CC5859746513}">
          <cx:tx>
            <cx:txData>
              <cx:f>_xlchart.v1.4</cx:f>
              <cx:v>PetalLengthCm</cx:v>
            </cx:txData>
          </cx:tx>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tickLabels/>
      </cx:axis>
    </cx:plotArea>
    <cx:legend pos="b" align="ctr" overlay="0"/>
  </cx:chart>
  <cx:clrMapOvr bg1="lt1" tx1="dk1" bg2="lt2" tx2="dk2" accent1="accent1" accent2="accent2" accent3="accent3" accent4="accent4" accent5="accent5" accent6="accent6" hlink="hlink" folHlink="folHlink"/>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rich>
          <a:bodyPr rot="0" spcFirstLastPara="1" vertOverflow="ellipsis" vert="horz" wrap="square" lIns="0" tIns="0" rIns="0" bIns="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600" b="1" i="0" u="none" strike="noStrike" kern="1200" spc="100" baseline="0">
                <a:solidFill>
                  <a:sysClr val="window" lastClr="FFFFFF">
                    <a:lumMod val="95000"/>
                  </a:sysClr>
                </a:solidFill>
                <a:effectLst>
                  <a:outerShdw blurRad="50800" dist="38100" dir="5400000" algn="t" rotWithShape="0">
                    <a:srgbClr val="000000">
                      <a:alpha val="40000"/>
                    </a:srgbClr>
                  </a:outerShdw>
                </a:effectLst>
                <a:latin typeface="Calibri"/>
              </a:rPr>
              <a:t>diagramme en boite de la Largeur des pétales</a:t>
            </a:r>
            <a:endParaRPr lang="fr-FR">
              <a:effectLst/>
            </a:endParaRPr>
          </a:p>
        </cx:rich>
      </cx:tx>
    </cx:title>
    <cx:plotArea>
      <cx:plotAreaRegion>
        <cx:series layoutId="boxWhisker" uniqueId="{AC03C9DD-DBDA-4F17-BC64-E9DA61F9EC87}">
          <cx:tx>
            <cx:txData>
              <cx:f>_xlchart.v1.8</cx:f>
              <cx:v>PetalWidthCm</cx:v>
            </cx:txData>
          </cx:tx>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baseline="0"/>
    <cs:bodyPr rot="-60000000" vert="horz"/>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cs:dataLabel>
  <cs:dataLabelCallout>
    <cs:lnRef idx="0"/>
    <cs:fillRef idx="0"/>
    <cs:effectRef idx="0"/>
    <cs:fontRef idx="minor">
      <a:schemeClr val="dk1">
        <a:lumMod val="75000"/>
        <a:lumOff val="25000"/>
      </a:schemeClr>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alpha val="85000"/>
        </a:schemeClr>
      </a:solidFill>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65000"/>
          <a:lumOff val="35000"/>
        </a:schemeClr>
      </a:solidFill>
      <a:ln w="9525" cap="flat" cmpd="sng" algn="ctr">
        <a:solidFill>
          <a:schemeClr val="dk1">
            <a:lumMod val="65000"/>
            <a:lumOff val="35000"/>
          </a:schemeClr>
        </a:solidFill>
        <a:round/>
      </a:ln>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15875" cap="flat" cmpd="sng" algn="ctr">
        <a:solidFill>
          <a:schemeClr val="dk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bodyPr rot="-60000000" vert="horz"/>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bodyPr rot="0" vert="horz"/>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cap="flat" cmpd="sng" algn="ctr">
        <a:solidFill>
          <a:schemeClr val="lt1">
            <a:lumMod val="85000"/>
          </a:schemeClr>
        </a:solidFill>
        <a:round/>
      </a:ln>
    </cs:spPr>
  </cs:upBar>
  <cs:valueAxis>
    <cs:lnRef idx="0"/>
    <cs:fillRef idx="0"/>
    <cs:effectRef idx="0"/>
    <cs:fontRef idx="minor">
      <a:schemeClr val="dk1">
        <a:lumMod val="75000"/>
        <a:lumOff val="25000"/>
      </a:schemeClr>
    </cs:fontRef>
    <cs:defRPr sz="900" kern="1200"/>
    <cs:bodyPr rot="-60000000" vert="horz"/>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09">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fillRef idx="0"/>
    <cs:effectRef idx="0"/>
    <cs:fontRef idx="minor">
      <a:schemeClr val="tx1"/>
    </cs:fontRef>
    <cs:spPr>
      <a:effectLst>
        <a:outerShdw blurRad="40000" dist="23000" dir="5400000" rotWithShape="0">
          <a:srgbClr val="000000">
            <a:alpha val="35000"/>
          </a:srgbClr>
        </a:outerShdw>
      </a:effectLst>
    </cs:spPr>
  </cs:dataPointLine>
  <cs:dataPointMarker>
    <cs:lnRef idx="0">
      <cs:styleClr val="auto"/>
    </cs:lnRef>
    <cs:fillRef idx="0">
      <cs:styleClr val="auto"/>
    </cs:fillRef>
    <cs:effectRef idx="0"/>
    <cs:fontRef idx="minor">
      <a:schemeClr val="tx1"/>
    </cs:fontRef>
    <cs:spPr>
      <a:gradFill rotWithShape="1">
        <a:gsLst>
          <a:gs pos="0">
            <a:schemeClr val="phClr">
              <a:lumMod val="60000"/>
              <a:shade val="51000"/>
              <a:satMod val="130000"/>
            </a:schemeClr>
          </a:gs>
          <a:gs pos="80000">
            <a:schemeClr val="phClr">
              <a:lumMod val="60000"/>
              <a:shade val="93000"/>
              <a:satMod val="130000"/>
            </a:schemeClr>
          </a:gs>
          <a:gs pos="100000">
            <a:schemeClr val="phClr">
              <a:lumMod val="60000"/>
              <a:shade val="94000"/>
              <a:satMod val="135000"/>
            </a:schemeClr>
          </a:gs>
        </a:gsLst>
        <a:lin ang="16200000" scaled="0"/>
      </a:gradFill>
      <a:ln w="9525">
        <a:solidFill>
          <a:schemeClr val="phClr">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10000"/>
            <a:lumOff val="10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leaderLine>
  <cs:legend>
    <cs:lnRef idx="0"/>
    <cs:fillRef idx="0"/>
    <cs:effectRef idx="0"/>
    <cs:fontRef idx="minor">
      <a:schemeClr val="lt1">
        <a:lumMod val="8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bodyPr rot="0" vert="horz"/>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bodyPr rot="-60000000" vert="horz"/>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09">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fillRef idx="0"/>
    <cs:effectRef idx="0"/>
    <cs:fontRef idx="minor">
      <a:schemeClr val="tx1"/>
    </cs:fontRef>
    <cs:spPr>
      <a:effectLst>
        <a:outerShdw blurRad="40000" dist="23000" dir="5400000" rotWithShape="0">
          <a:srgbClr val="000000">
            <a:alpha val="35000"/>
          </a:srgbClr>
        </a:outerShdw>
      </a:effectLst>
    </cs:spPr>
  </cs:dataPointLine>
  <cs:dataPointMarker>
    <cs:lnRef idx="0">
      <cs:styleClr val="auto"/>
    </cs:lnRef>
    <cs:fillRef idx="0">
      <cs:styleClr val="auto"/>
    </cs:fillRef>
    <cs:effectRef idx="0"/>
    <cs:fontRef idx="minor">
      <a:schemeClr val="tx1"/>
    </cs:fontRef>
    <cs:spPr>
      <a:gradFill rotWithShape="1">
        <a:gsLst>
          <a:gs pos="0">
            <a:schemeClr val="phClr">
              <a:lumMod val="60000"/>
              <a:shade val="51000"/>
              <a:satMod val="130000"/>
            </a:schemeClr>
          </a:gs>
          <a:gs pos="80000">
            <a:schemeClr val="phClr">
              <a:lumMod val="60000"/>
              <a:shade val="93000"/>
              <a:satMod val="130000"/>
            </a:schemeClr>
          </a:gs>
          <a:gs pos="100000">
            <a:schemeClr val="phClr">
              <a:lumMod val="60000"/>
              <a:shade val="94000"/>
              <a:satMod val="135000"/>
            </a:schemeClr>
          </a:gs>
        </a:gsLst>
        <a:lin ang="16200000" scaled="0"/>
      </a:gradFill>
      <a:ln w="9525">
        <a:solidFill>
          <a:schemeClr val="phClr">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10000"/>
            <a:lumOff val="10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leaderLine>
  <cs:legend>
    <cs:lnRef idx="0"/>
    <cs:fillRef idx="0"/>
    <cs:effectRef idx="0"/>
    <cs:fontRef idx="minor">
      <a:schemeClr val="lt1">
        <a:lumMod val="8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bodyPr rot="0" vert="horz"/>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bodyPr rot="-60000000" vert="horz"/>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409">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fillRef idx="0"/>
    <cs:effectRef idx="0"/>
    <cs:fontRef idx="minor">
      <a:schemeClr val="tx1"/>
    </cs:fontRef>
    <cs:spPr>
      <a:effectLst>
        <a:outerShdw blurRad="40000" dist="23000" dir="5400000" rotWithShape="0">
          <a:srgbClr val="000000">
            <a:alpha val="35000"/>
          </a:srgbClr>
        </a:outerShdw>
      </a:effectLst>
    </cs:spPr>
  </cs:dataPointLine>
  <cs:dataPointMarker>
    <cs:lnRef idx="0">
      <cs:styleClr val="auto"/>
    </cs:lnRef>
    <cs:fillRef idx="0">
      <cs:styleClr val="auto"/>
    </cs:fillRef>
    <cs:effectRef idx="0"/>
    <cs:fontRef idx="minor">
      <a:schemeClr val="tx1"/>
    </cs:fontRef>
    <cs:spPr>
      <a:gradFill rotWithShape="1">
        <a:gsLst>
          <a:gs pos="0">
            <a:schemeClr val="phClr">
              <a:lumMod val="60000"/>
              <a:shade val="51000"/>
              <a:satMod val="130000"/>
            </a:schemeClr>
          </a:gs>
          <a:gs pos="80000">
            <a:schemeClr val="phClr">
              <a:lumMod val="60000"/>
              <a:shade val="93000"/>
              <a:satMod val="130000"/>
            </a:schemeClr>
          </a:gs>
          <a:gs pos="100000">
            <a:schemeClr val="phClr">
              <a:lumMod val="60000"/>
              <a:shade val="94000"/>
              <a:satMod val="135000"/>
            </a:schemeClr>
          </a:gs>
        </a:gsLst>
        <a:lin ang="16200000" scaled="0"/>
      </a:gradFill>
      <a:ln w="9525">
        <a:solidFill>
          <a:schemeClr val="phClr">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10000"/>
            <a:lumOff val="10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leaderLine>
  <cs:legend>
    <cs:lnRef idx="0"/>
    <cs:fillRef idx="0"/>
    <cs:effectRef idx="0"/>
    <cs:fontRef idx="minor">
      <a:schemeClr val="lt1">
        <a:lumMod val="8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bodyPr rot="0" vert="horz"/>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bodyPr rot="-60000000" vert="horz"/>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19.xml"/><Relationship Id="rId18" Type="http://schemas.openxmlformats.org/officeDocument/2006/relationships/chart" Target="../charts/chart24.xml"/><Relationship Id="rId3" Type="http://schemas.microsoft.com/office/2014/relationships/chartEx" Target="../charts/chartEx1.xml"/><Relationship Id="rId7" Type="http://schemas.openxmlformats.org/officeDocument/2006/relationships/chart" Target="../charts/chart15.xml"/><Relationship Id="rId12" Type="http://schemas.microsoft.com/office/2014/relationships/chartEx" Target="../charts/chartEx4.xml"/><Relationship Id="rId17" Type="http://schemas.openxmlformats.org/officeDocument/2006/relationships/chart" Target="../charts/chart23.xml"/><Relationship Id="rId2" Type="http://schemas.openxmlformats.org/officeDocument/2006/relationships/chart" Target="../charts/chart12.xml"/><Relationship Id="rId16" Type="http://schemas.openxmlformats.org/officeDocument/2006/relationships/chart" Target="../charts/chart22.xml"/><Relationship Id="rId1" Type="http://schemas.openxmlformats.org/officeDocument/2006/relationships/chart" Target="../charts/chart11.xml"/><Relationship Id="rId6" Type="http://schemas.microsoft.com/office/2014/relationships/chartEx" Target="../charts/chartEx2.xml"/><Relationship Id="rId11" Type="http://schemas.openxmlformats.org/officeDocument/2006/relationships/chart" Target="../charts/chart18.xml"/><Relationship Id="rId5" Type="http://schemas.openxmlformats.org/officeDocument/2006/relationships/chart" Target="../charts/chart14.xml"/><Relationship Id="rId15" Type="http://schemas.openxmlformats.org/officeDocument/2006/relationships/chart" Target="../charts/chart21.xml"/><Relationship Id="rId10" Type="http://schemas.openxmlformats.org/officeDocument/2006/relationships/chart" Target="../charts/chart17.xml"/><Relationship Id="rId19" Type="http://schemas.openxmlformats.org/officeDocument/2006/relationships/chart" Target="../charts/chart25.xml"/><Relationship Id="rId4" Type="http://schemas.openxmlformats.org/officeDocument/2006/relationships/chart" Target="../charts/chart13.xml"/><Relationship Id="rId9" Type="http://schemas.microsoft.com/office/2014/relationships/chartEx" Target="../charts/chartEx3.xml"/><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1187450</xdr:colOff>
      <xdr:row>9</xdr:row>
      <xdr:rowOff>76200</xdr:rowOff>
    </xdr:from>
    <xdr:to>
      <xdr:col>5</xdr:col>
      <xdr:colOff>479425</xdr:colOff>
      <xdr:row>27</xdr:row>
      <xdr:rowOff>111125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768350</xdr:colOff>
      <xdr:row>3</xdr:row>
      <xdr:rowOff>168275</xdr:rowOff>
    </xdr:from>
    <xdr:to>
      <xdr:col>4</xdr:col>
      <xdr:colOff>755650</xdr:colOff>
      <xdr:row>18</xdr:row>
      <xdr:rowOff>149225</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768350</xdr:colOff>
      <xdr:row>3</xdr:row>
      <xdr:rowOff>168275</xdr:rowOff>
    </xdr:from>
    <xdr:to>
      <xdr:col>6</xdr:col>
      <xdr:colOff>69850</xdr:colOff>
      <xdr:row>18</xdr:row>
      <xdr:rowOff>149225</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768350</xdr:colOff>
      <xdr:row>2</xdr:row>
      <xdr:rowOff>98425</xdr:rowOff>
    </xdr:from>
    <xdr:to>
      <xdr:col>6</xdr:col>
      <xdr:colOff>107950</xdr:colOff>
      <xdr:row>17</xdr:row>
      <xdr:rowOff>79375</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768350</xdr:colOff>
      <xdr:row>3</xdr:row>
      <xdr:rowOff>168275</xdr:rowOff>
    </xdr:from>
    <xdr:to>
      <xdr:col>4</xdr:col>
      <xdr:colOff>736600</xdr:colOff>
      <xdr:row>18</xdr:row>
      <xdr:rowOff>149225</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327422</xdr:colOff>
      <xdr:row>67</xdr:row>
      <xdr:rowOff>49610</xdr:rowOff>
    </xdr:from>
    <xdr:to>
      <xdr:col>3</xdr:col>
      <xdr:colOff>572691</xdr:colOff>
      <xdr:row>85</xdr:row>
      <xdr:rowOff>5953</xdr:rowOff>
    </xdr:to>
    <xdr:graphicFrame macro="">
      <xdr:nvGraphicFramePr>
        <xdr:cNvPr id="13" name="Graphique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657281</xdr:colOff>
      <xdr:row>67</xdr:row>
      <xdr:rowOff>76938</xdr:rowOff>
    </xdr:from>
    <xdr:to>
      <xdr:col>5</xdr:col>
      <xdr:colOff>972796</xdr:colOff>
      <xdr:row>85</xdr:row>
      <xdr:rowOff>7484</xdr:rowOff>
    </xdr:to>
    <xdr:graphicFrame macro="">
      <xdr:nvGraphicFramePr>
        <xdr:cNvPr id="14" name="Graphique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86</xdr:row>
      <xdr:rowOff>162231</xdr:rowOff>
    </xdr:from>
    <xdr:to>
      <xdr:col>3</xdr:col>
      <xdr:colOff>327422</xdr:colOff>
      <xdr:row>104</xdr:row>
      <xdr:rowOff>101829</xdr:rowOff>
    </xdr:to>
    <xdr:graphicFrame macro="">
      <xdr:nvGraphicFramePr>
        <xdr:cNvPr id="15" name="Graphique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947278</xdr:colOff>
      <xdr:row>86</xdr:row>
      <xdr:rowOff>67191</xdr:rowOff>
    </xdr:from>
    <xdr:to>
      <xdr:col>5</xdr:col>
      <xdr:colOff>1381855</xdr:colOff>
      <xdr:row>104</xdr:row>
      <xdr:rowOff>87905</xdr:rowOff>
    </xdr:to>
    <xdr:graphicFrame macro="">
      <xdr:nvGraphicFramePr>
        <xdr:cNvPr id="16" name="Graphique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2103437</xdr:colOff>
      <xdr:row>86</xdr:row>
      <xdr:rowOff>69453</xdr:rowOff>
    </xdr:from>
    <xdr:to>
      <xdr:col>11</xdr:col>
      <xdr:colOff>37703</xdr:colOff>
      <xdr:row>103</xdr:row>
      <xdr:rowOff>178592</xdr:rowOff>
    </xdr:to>
    <xdr:graphicFrame macro="">
      <xdr:nvGraphicFramePr>
        <xdr:cNvPr id="17" name="Graphique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173754</xdr:colOff>
      <xdr:row>6</xdr:row>
      <xdr:rowOff>181010</xdr:rowOff>
    </xdr:from>
    <xdr:to>
      <xdr:col>12</xdr:col>
      <xdr:colOff>182128</xdr:colOff>
      <xdr:row>24</xdr:row>
      <xdr:rowOff>102246</xdr:rowOff>
    </xdr:to>
    <xdr:graphicFrame macro="">
      <xdr:nvGraphicFramePr>
        <xdr:cNvPr id="16" name="Graphique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164881</xdr:colOff>
      <xdr:row>25</xdr:row>
      <xdr:rowOff>139914</xdr:rowOff>
    </xdr:from>
    <xdr:to>
      <xdr:col>12</xdr:col>
      <xdr:colOff>173255</xdr:colOff>
      <xdr:row>42</xdr:row>
      <xdr:rowOff>155296</xdr:rowOff>
    </xdr:to>
    <xdr:graphicFrame macro="">
      <xdr:nvGraphicFramePr>
        <xdr:cNvPr id="18" name="Graphique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295975</xdr:colOff>
      <xdr:row>9</xdr:row>
      <xdr:rowOff>169333</xdr:rowOff>
    </xdr:from>
    <xdr:to>
      <xdr:col>17</xdr:col>
      <xdr:colOff>283059</xdr:colOff>
      <xdr:row>36</xdr:row>
      <xdr:rowOff>118533</xdr:rowOff>
    </xdr:to>
    <mc:AlternateContent xmlns:mc="http://schemas.openxmlformats.org/markup-compatibility/2006">
      <mc:Choice xmlns:cx1="http://schemas.microsoft.com/office/drawing/2015/9/8/chartex" Requires="cx1">
        <xdr:graphicFrame macro="">
          <xdr:nvGraphicFramePr>
            <xdr:cNvPr id="26" name="Graphique 25"/>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6</xdr:col>
      <xdr:colOff>182034</xdr:colOff>
      <xdr:row>47</xdr:row>
      <xdr:rowOff>182033</xdr:rowOff>
    </xdr:from>
    <xdr:to>
      <xdr:col>12</xdr:col>
      <xdr:colOff>182034</xdr:colOff>
      <xdr:row>62</xdr:row>
      <xdr:rowOff>131233</xdr:rowOff>
    </xdr:to>
    <xdr:graphicFrame macro="">
      <xdr:nvGraphicFramePr>
        <xdr:cNvPr id="20" name="Graphique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143933</xdr:colOff>
      <xdr:row>63</xdr:row>
      <xdr:rowOff>131233</xdr:rowOff>
    </xdr:from>
    <xdr:to>
      <xdr:col>12</xdr:col>
      <xdr:colOff>143933</xdr:colOff>
      <xdr:row>80</xdr:row>
      <xdr:rowOff>50799</xdr:rowOff>
    </xdr:to>
    <xdr:graphicFrame macro="">
      <xdr:nvGraphicFramePr>
        <xdr:cNvPr id="21" name="Graphique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237066</xdr:colOff>
      <xdr:row>48</xdr:row>
      <xdr:rowOff>1</xdr:rowOff>
    </xdr:from>
    <xdr:to>
      <xdr:col>17</xdr:col>
      <xdr:colOff>474132</xdr:colOff>
      <xdr:row>78</xdr:row>
      <xdr:rowOff>93133</xdr:rowOff>
    </xdr:to>
    <mc:AlternateContent xmlns:mc="http://schemas.openxmlformats.org/markup-compatibility/2006">
      <mc:Choice xmlns:cx1="http://schemas.microsoft.com/office/drawing/2015/9/8/chartex" Requires="cx1">
        <xdr:graphicFrame macro="">
          <xdr:nvGraphicFramePr>
            <xdr:cNvPr id="29" name="Graphique 28"/>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6</xdr:col>
      <xdr:colOff>135466</xdr:colOff>
      <xdr:row>84</xdr:row>
      <xdr:rowOff>165099</xdr:rowOff>
    </xdr:from>
    <xdr:to>
      <xdr:col>13</xdr:col>
      <xdr:colOff>143933</xdr:colOff>
      <xdr:row>102</xdr:row>
      <xdr:rowOff>110066</xdr:rowOff>
    </xdr:to>
    <xdr:graphicFrame macro="">
      <xdr:nvGraphicFramePr>
        <xdr:cNvPr id="23" name="Graphique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118533</xdr:colOff>
      <xdr:row>104</xdr:row>
      <xdr:rowOff>127000</xdr:rowOff>
    </xdr:from>
    <xdr:to>
      <xdr:col>13</xdr:col>
      <xdr:colOff>143933</xdr:colOff>
      <xdr:row>127</xdr:row>
      <xdr:rowOff>160866</xdr:rowOff>
    </xdr:to>
    <xdr:graphicFrame macro="">
      <xdr:nvGraphicFramePr>
        <xdr:cNvPr id="24" name="Graphique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372533</xdr:colOff>
      <xdr:row>92</xdr:row>
      <xdr:rowOff>59268</xdr:rowOff>
    </xdr:from>
    <xdr:to>
      <xdr:col>18</xdr:col>
      <xdr:colOff>364066</xdr:colOff>
      <xdr:row>109</xdr:row>
      <xdr:rowOff>177800</xdr:rowOff>
    </xdr:to>
    <mc:AlternateContent xmlns:mc="http://schemas.openxmlformats.org/markup-compatibility/2006">
      <mc:Choice xmlns:cx1="http://schemas.microsoft.com/office/drawing/2015/9/8/chartex" Requires="cx1">
        <xdr:graphicFrame macro="">
          <xdr:nvGraphicFramePr>
            <xdr:cNvPr id="33" name="Graphique 3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6</xdr:col>
      <xdr:colOff>448596</xdr:colOff>
      <xdr:row>136</xdr:row>
      <xdr:rowOff>5941</xdr:rowOff>
    </xdr:from>
    <xdr:to>
      <xdr:col>12</xdr:col>
      <xdr:colOff>473177</xdr:colOff>
      <xdr:row>150</xdr:row>
      <xdr:rowOff>168173</xdr:rowOff>
    </xdr:to>
    <xdr:graphicFrame macro="">
      <xdr:nvGraphicFramePr>
        <xdr:cNvPr id="27" name="Graphique 2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571499</xdr:colOff>
      <xdr:row>151</xdr:row>
      <xdr:rowOff>118601</xdr:rowOff>
    </xdr:from>
    <xdr:to>
      <xdr:col>12</xdr:col>
      <xdr:colOff>596080</xdr:colOff>
      <xdr:row>166</xdr:row>
      <xdr:rowOff>96479</xdr:rowOff>
    </xdr:to>
    <xdr:graphicFrame macro="">
      <xdr:nvGraphicFramePr>
        <xdr:cNvPr id="28" name="Graphique 2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61452</xdr:colOff>
      <xdr:row>137</xdr:row>
      <xdr:rowOff>81935</xdr:rowOff>
    </xdr:from>
    <xdr:to>
      <xdr:col>18</xdr:col>
      <xdr:colOff>512097</xdr:colOff>
      <xdr:row>164</xdr:row>
      <xdr:rowOff>92177</xdr:rowOff>
    </xdr:to>
    <mc:AlternateContent xmlns:mc="http://schemas.openxmlformats.org/markup-compatibility/2006">
      <mc:Choice xmlns:cx1="http://schemas.microsoft.com/office/drawing/2015/9/8/chartex" Requires="cx1">
        <xdr:graphicFrame macro="">
          <xdr:nvGraphicFramePr>
            <xdr:cNvPr id="36" name="Graphique 35"/>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591982</xdr:colOff>
      <xdr:row>174</xdr:row>
      <xdr:rowOff>118602</xdr:rowOff>
    </xdr:from>
    <xdr:to>
      <xdr:col>10</xdr:col>
      <xdr:colOff>616563</xdr:colOff>
      <xdr:row>189</xdr:row>
      <xdr:rowOff>45269</xdr:rowOff>
    </xdr:to>
    <xdr:graphicFrame macro="">
      <xdr:nvGraphicFramePr>
        <xdr:cNvPr id="31" name="Graphique 3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428113</xdr:colOff>
      <xdr:row>174</xdr:row>
      <xdr:rowOff>139086</xdr:rowOff>
    </xdr:from>
    <xdr:to>
      <xdr:col>16</xdr:col>
      <xdr:colOff>1210596</xdr:colOff>
      <xdr:row>189</xdr:row>
      <xdr:rowOff>65753</xdr:rowOff>
    </xdr:to>
    <xdr:graphicFrame macro="">
      <xdr:nvGraphicFramePr>
        <xdr:cNvPr id="9216" name="Graphique 92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551015</xdr:colOff>
      <xdr:row>189</xdr:row>
      <xdr:rowOff>149328</xdr:rowOff>
    </xdr:from>
    <xdr:to>
      <xdr:col>13</xdr:col>
      <xdr:colOff>575596</xdr:colOff>
      <xdr:row>204</xdr:row>
      <xdr:rowOff>127206</xdr:rowOff>
    </xdr:to>
    <xdr:graphicFrame macro="">
      <xdr:nvGraphicFramePr>
        <xdr:cNvPr id="9223" name="Graphique 92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305211</xdr:colOff>
      <xdr:row>209</xdr:row>
      <xdr:rowOff>98118</xdr:rowOff>
    </xdr:from>
    <xdr:to>
      <xdr:col>11</xdr:col>
      <xdr:colOff>329791</xdr:colOff>
      <xdr:row>223</xdr:row>
      <xdr:rowOff>178415</xdr:rowOff>
    </xdr:to>
    <xdr:graphicFrame macro="">
      <xdr:nvGraphicFramePr>
        <xdr:cNvPr id="9224" name="Graphique 92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510049</xdr:colOff>
      <xdr:row>209</xdr:row>
      <xdr:rowOff>118601</xdr:rowOff>
    </xdr:from>
    <xdr:to>
      <xdr:col>16</xdr:col>
      <xdr:colOff>1292533</xdr:colOff>
      <xdr:row>224</xdr:row>
      <xdr:rowOff>14543</xdr:rowOff>
    </xdr:to>
    <xdr:graphicFrame macro="">
      <xdr:nvGraphicFramePr>
        <xdr:cNvPr id="9225" name="Graphique 92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438355</xdr:colOff>
      <xdr:row>224</xdr:row>
      <xdr:rowOff>180054</xdr:rowOff>
    </xdr:from>
    <xdr:to>
      <xdr:col>14</xdr:col>
      <xdr:colOff>462936</xdr:colOff>
      <xdr:row>239</xdr:row>
      <xdr:rowOff>157931</xdr:rowOff>
    </xdr:to>
    <xdr:graphicFrame macro="">
      <xdr:nvGraphicFramePr>
        <xdr:cNvPr id="9226" name="Graphique 92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112660</xdr:colOff>
      <xdr:row>248</xdr:row>
      <xdr:rowOff>40966</xdr:rowOff>
    </xdr:from>
    <xdr:to>
      <xdr:col>9</xdr:col>
      <xdr:colOff>71693</xdr:colOff>
      <xdr:row>267</xdr:row>
      <xdr:rowOff>143388</xdr:rowOff>
    </xdr:to>
    <xdr:graphicFrame macro="">
      <xdr:nvGraphicFramePr>
        <xdr:cNvPr id="45" name="Graphique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Meranda" refreshedDate="45944.294590972226" createdVersion="6" refreshedVersion="6" minRefreshableVersion="3" recordCount="150">
  <cacheSource type="worksheet">
    <worksheetSource ref="A1:I151" sheet="donnees"/>
  </cacheSource>
  <cacheFields count="9">
    <cacheField name="Id" numFmtId="0">
      <sharedItems containsSemiMixedTypes="0" containsString="0" containsNumber="1" containsInteger="1" minValue="1" maxValue="150"/>
    </cacheField>
    <cacheField name="SepalLengthCm" numFmtId="0">
      <sharedItems containsSemiMixedTypes="0" containsString="0" containsNumber="1" minValue="4.3" maxValue="7.9"/>
    </cacheField>
    <cacheField name="SepalWidthCm" numFmtId="0">
      <sharedItems containsSemiMixedTypes="0" containsString="0" containsNumber="1" minValue="2" maxValue="4.4000000000000004"/>
    </cacheField>
    <cacheField name="PetalLengthCm" numFmtId="0">
      <sharedItems containsSemiMixedTypes="0" containsString="0" containsNumber="1" minValue="1" maxValue="6.9"/>
    </cacheField>
    <cacheField name="PetalWidthCm" numFmtId="0">
      <sharedItems containsSemiMixedTypes="0" containsString="0" containsNumber="1" minValue="0.1" maxValue="2.5"/>
    </cacheField>
    <cacheField name="Species" numFmtId="49">
      <sharedItems count="3">
        <s v="Iris-setosa"/>
        <s v="Iris-versicolor"/>
        <s v="Iris-virginica"/>
      </sharedItems>
    </cacheField>
    <cacheField name="size_sepal" numFmtId="0">
      <sharedItems containsSemiMixedTypes="0" containsString="0" containsNumber="1" minValue="10" maxValue="30.02"/>
    </cacheField>
    <cacheField name="size_petal" numFmtId="0">
      <sharedItems containsSemiMixedTypes="0" containsString="0" containsNumber="1" minValue="0.11000000000000001" maxValue="15.87"/>
    </cacheField>
    <cacheField name="size_petal_catégori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eranda" refreshedDate="45944.316337847224" createdVersion="6" refreshedVersion="6" minRefreshableVersion="3" recordCount="150">
  <cacheSource type="worksheet">
    <worksheetSource ref="A1:I151" sheet="donnees"/>
  </cacheSource>
  <cacheFields count="9">
    <cacheField name="Id" numFmtId="0">
      <sharedItems containsSemiMixedTypes="0" containsString="0" containsNumber="1" containsInteger="1" minValue="1" maxValue="150"/>
    </cacheField>
    <cacheField name="SepalLengthCm" numFmtId="0">
      <sharedItems containsSemiMixedTypes="0" containsString="0" containsNumber="1" minValue="4.3" maxValue="7.9"/>
    </cacheField>
    <cacheField name="SepalWidthCm" numFmtId="0">
      <sharedItems containsSemiMixedTypes="0" containsString="0" containsNumber="1" minValue="2" maxValue="4.4000000000000004"/>
    </cacheField>
    <cacheField name="PetalLengthCm" numFmtId="0">
      <sharedItems containsSemiMixedTypes="0" containsString="0" containsNumber="1" minValue="1" maxValue="6.9"/>
    </cacheField>
    <cacheField name="PetalWidthCm" numFmtId="0">
      <sharedItems containsSemiMixedTypes="0" containsString="0" containsNumber="1" minValue="0.1" maxValue="2.5"/>
    </cacheField>
    <cacheField name="Species" numFmtId="49">
      <sharedItems count="3">
        <s v="Iris-setosa"/>
        <s v="Iris-versicolor"/>
        <s v="Iris-virginica"/>
      </sharedItems>
    </cacheField>
    <cacheField name="size_sepal" numFmtId="0">
      <sharedItems containsSemiMixedTypes="0" containsString="0" containsNumber="1" minValue="10" maxValue="30.02"/>
    </cacheField>
    <cacheField name="size_petal" numFmtId="0">
      <sharedItems containsSemiMixedTypes="0" containsString="0" containsNumber="1" minValue="0.11000000000000001" maxValue="15.87"/>
    </cacheField>
    <cacheField name="size_petal_catégori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Meranda" refreshedDate="45944.321471759256" createdVersion="6" refreshedVersion="6" minRefreshableVersion="3" recordCount="150">
  <cacheSource type="worksheet">
    <worksheetSource ref="A1:I151" sheet="donnees"/>
  </cacheSource>
  <cacheFields count="9">
    <cacheField name="Id" numFmtId="0">
      <sharedItems containsSemiMixedTypes="0" containsString="0" containsNumber="1" containsInteger="1" minValue="1" maxValue="150"/>
    </cacheField>
    <cacheField name="SepalLengthCm" numFmtId="0">
      <sharedItems containsSemiMixedTypes="0" containsString="0" containsNumber="1" minValue="4.3" maxValue="7.9"/>
    </cacheField>
    <cacheField name="SepalWidthCm" numFmtId="0">
      <sharedItems containsSemiMixedTypes="0" containsString="0" containsNumber="1" minValue="2" maxValue="4.4000000000000004"/>
    </cacheField>
    <cacheField name="PetalLengthCm" numFmtId="0">
      <sharedItems containsSemiMixedTypes="0" containsString="0" containsNumber="1" minValue="1" maxValue="6.9"/>
    </cacheField>
    <cacheField name="PetalWidthCm" numFmtId="0">
      <sharedItems containsSemiMixedTypes="0" containsString="0" containsNumber="1" minValue="0.1" maxValue="2.5"/>
    </cacheField>
    <cacheField name="Species" numFmtId="49">
      <sharedItems/>
    </cacheField>
    <cacheField name="size_sepal" numFmtId="0">
      <sharedItems containsSemiMixedTypes="0" containsString="0" containsNumber="1" minValue="10" maxValue="30.02"/>
    </cacheField>
    <cacheField name="size_petal" numFmtId="0">
      <sharedItems containsSemiMixedTypes="0" containsString="0" containsNumber="1" minValue="0.11000000000000001" maxValue="15.87"/>
    </cacheField>
    <cacheField name="size_petal_catégorie" numFmtId="0">
      <sharedItems count="3">
        <s v="Petite"/>
        <s v="Grande"/>
        <s v="Moyenn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Meranda" refreshedDate="45944.327145833333" createdVersion="6" refreshedVersion="6" minRefreshableVersion="3" recordCount="150">
  <cacheSource type="worksheet">
    <worksheetSource ref="A1:I151" sheet="donnees"/>
  </cacheSource>
  <cacheFields count="9">
    <cacheField name="Id" numFmtId="0">
      <sharedItems containsSemiMixedTypes="0" containsString="0" containsNumber="1" containsInteger="1" minValue="1" maxValue="150"/>
    </cacheField>
    <cacheField name="SepalLengthCm" numFmtId="0">
      <sharedItems containsSemiMixedTypes="0" containsString="0" containsNumber="1" minValue="4.3" maxValue="7.9"/>
    </cacheField>
    <cacheField name="SepalWidthCm" numFmtId="0">
      <sharedItems containsSemiMixedTypes="0" containsString="0" containsNumber="1" minValue="2" maxValue="4.4000000000000004"/>
    </cacheField>
    <cacheField name="PetalLengthCm" numFmtId="0">
      <sharedItems containsSemiMixedTypes="0" containsString="0" containsNumber="1" minValue="1" maxValue="6.9"/>
    </cacheField>
    <cacheField name="PetalWidthCm" numFmtId="0">
      <sharedItems containsSemiMixedTypes="0" containsString="0" containsNumber="1" minValue="0.1" maxValue="2.5"/>
    </cacheField>
    <cacheField name="Species" numFmtId="49">
      <sharedItems count="3">
        <s v="Iris-setosa"/>
        <s v="Iris-versicolor"/>
        <s v="Iris-virginica"/>
      </sharedItems>
    </cacheField>
    <cacheField name="size_sepal" numFmtId="0">
      <sharedItems containsSemiMixedTypes="0" containsString="0" containsNumber="1" minValue="10" maxValue="30.02"/>
    </cacheField>
    <cacheField name="size_petal" numFmtId="0">
      <sharedItems containsSemiMixedTypes="0" containsString="0" containsNumber="1" minValue="0.11000000000000001" maxValue="15.87"/>
    </cacheField>
    <cacheField name="size_petal_catégorie" numFmtId="0">
      <sharedItems count="3">
        <s v="Petite"/>
        <s v="Grande"/>
        <s v="Moyenn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Meranda" refreshedDate="45944.333206249998" createdVersion="6" refreshedVersion="6" minRefreshableVersion="3" recordCount="150">
  <cacheSource type="worksheet">
    <worksheetSource ref="A1:I151" sheet="donnees"/>
  </cacheSource>
  <cacheFields count="9">
    <cacheField name="Id" numFmtId="0">
      <sharedItems containsSemiMixedTypes="0" containsString="0" containsNumber="1" containsInteger="1" minValue="1" maxValue="150"/>
    </cacheField>
    <cacheField name="SepalLengthCm" numFmtId="0">
      <sharedItems containsSemiMixedTypes="0" containsString="0" containsNumber="1" minValue="4.3" maxValue="7.9"/>
    </cacheField>
    <cacheField name="SepalWidthCm" numFmtId="0">
      <sharedItems containsSemiMixedTypes="0" containsString="0" containsNumber="1" minValue="2" maxValue="4.4000000000000004"/>
    </cacheField>
    <cacheField name="PetalLengthCm" numFmtId="0">
      <sharedItems containsSemiMixedTypes="0" containsString="0" containsNumber="1" minValue="1" maxValue="6.9"/>
    </cacheField>
    <cacheField name="PetalWidthCm" numFmtId="0">
      <sharedItems containsSemiMixedTypes="0" containsString="0" containsNumber="1" minValue="0.1" maxValue="2.5"/>
    </cacheField>
    <cacheField name="Species" numFmtId="49">
      <sharedItems/>
    </cacheField>
    <cacheField name="size_sepal" numFmtId="0">
      <sharedItems containsSemiMixedTypes="0" containsString="0" containsNumber="1" minValue="10" maxValue="30.02"/>
    </cacheField>
    <cacheField name="size_petal" numFmtId="0">
      <sharedItems containsSemiMixedTypes="0" containsString="0" containsNumber="1" minValue="0.11000000000000001" maxValue="15.87"/>
    </cacheField>
    <cacheField name="size_petal_catégorie" numFmtId="0">
      <sharedItems count="3">
        <s v="Petite"/>
        <s v="Grande"/>
        <s v="Moyen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0">
  <r>
    <n v="1"/>
    <n v="5.0999999999999996"/>
    <n v="3.5"/>
    <n v="1.4"/>
    <n v="0.2"/>
    <x v="0"/>
    <n v="17.849999999999998"/>
    <n v="0.27999999999999997"/>
    <s v="Petite"/>
  </r>
  <r>
    <n v="2"/>
    <n v="4.9000000000000004"/>
    <n v="3"/>
    <n v="1.4"/>
    <n v="0.2"/>
    <x v="0"/>
    <n v="14.700000000000001"/>
    <n v="0.27999999999999997"/>
    <s v="Petite"/>
  </r>
  <r>
    <n v="3"/>
    <n v="4.7"/>
    <n v="3.2"/>
    <n v="1.3"/>
    <n v="0.2"/>
    <x v="0"/>
    <n v="15.040000000000001"/>
    <n v="0.26"/>
    <s v="Petite"/>
  </r>
  <r>
    <n v="4"/>
    <n v="4.5999999999999996"/>
    <n v="3.1"/>
    <n v="1.5"/>
    <n v="0.2"/>
    <x v="0"/>
    <n v="14.26"/>
    <n v="0.30000000000000004"/>
    <s v="Petite"/>
  </r>
  <r>
    <n v="5"/>
    <n v="5"/>
    <n v="3.6"/>
    <n v="1.4"/>
    <n v="0.2"/>
    <x v="0"/>
    <n v="18"/>
    <n v="0.27999999999999997"/>
    <s v="Petite"/>
  </r>
  <r>
    <n v="6"/>
    <n v="5.4"/>
    <n v="3.9"/>
    <n v="1.7"/>
    <n v="0.4"/>
    <x v="0"/>
    <n v="21.060000000000002"/>
    <n v="0.68"/>
    <s v="Petite"/>
  </r>
  <r>
    <n v="7"/>
    <n v="4.5999999999999996"/>
    <n v="3.4"/>
    <n v="1.4"/>
    <n v="0.3"/>
    <x v="0"/>
    <n v="15.639999999999999"/>
    <n v="0.42"/>
    <s v="Petite"/>
  </r>
  <r>
    <n v="8"/>
    <n v="5"/>
    <n v="3.4"/>
    <n v="1.5"/>
    <n v="0.2"/>
    <x v="0"/>
    <n v="17"/>
    <n v="0.30000000000000004"/>
    <s v="Petite"/>
  </r>
  <r>
    <n v="9"/>
    <n v="4.4000000000000004"/>
    <n v="2.9"/>
    <n v="1.4"/>
    <n v="0.2"/>
    <x v="0"/>
    <n v="12.76"/>
    <n v="0.27999999999999997"/>
    <s v="Petite"/>
  </r>
  <r>
    <n v="10"/>
    <n v="4.9000000000000004"/>
    <n v="3.1"/>
    <n v="1.5"/>
    <n v="0.1"/>
    <x v="0"/>
    <n v="15.190000000000001"/>
    <n v="0.15000000000000002"/>
    <s v="Petite"/>
  </r>
  <r>
    <n v="11"/>
    <n v="5.4"/>
    <n v="3.7"/>
    <n v="1.5"/>
    <n v="0.2"/>
    <x v="0"/>
    <n v="19.980000000000004"/>
    <n v="0.30000000000000004"/>
    <s v="Petite"/>
  </r>
  <r>
    <n v="12"/>
    <n v="4.8"/>
    <n v="3.4"/>
    <n v="1.6"/>
    <n v="0.2"/>
    <x v="0"/>
    <n v="16.32"/>
    <n v="0.32000000000000006"/>
    <s v="Petite"/>
  </r>
  <r>
    <n v="13"/>
    <n v="4.8"/>
    <n v="3"/>
    <n v="1.4"/>
    <n v="0.1"/>
    <x v="0"/>
    <n v="14.399999999999999"/>
    <n v="0.13999999999999999"/>
    <s v="Petite"/>
  </r>
  <r>
    <n v="14"/>
    <n v="4.3"/>
    <n v="3"/>
    <n v="1.1000000000000001"/>
    <n v="0.1"/>
    <x v="0"/>
    <n v="12.899999999999999"/>
    <n v="0.11000000000000001"/>
    <s v="Petite"/>
  </r>
  <r>
    <n v="15"/>
    <n v="5.8"/>
    <n v="4"/>
    <n v="1.2"/>
    <n v="0.2"/>
    <x v="0"/>
    <n v="23.2"/>
    <n v="0.24"/>
    <s v="Petite"/>
  </r>
  <r>
    <n v="16"/>
    <n v="5.7"/>
    <n v="4.4000000000000004"/>
    <n v="1.5"/>
    <n v="0.4"/>
    <x v="0"/>
    <n v="25.080000000000002"/>
    <n v="0.60000000000000009"/>
    <s v="Petite"/>
  </r>
  <r>
    <n v="17"/>
    <n v="5.4"/>
    <n v="3.9"/>
    <n v="1.3"/>
    <n v="0.4"/>
    <x v="0"/>
    <n v="21.060000000000002"/>
    <n v="0.52"/>
    <s v="Petite"/>
  </r>
  <r>
    <n v="18"/>
    <n v="5.0999999999999996"/>
    <n v="3.5"/>
    <n v="1.4"/>
    <n v="0.3"/>
    <x v="0"/>
    <n v="17.849999999999998"/>
    <n v="0.42"/>
    <s v="Petite"/>
  </r>
  <r>
    <n v="19"/>
    <n v="5.7"/>
    <n v="3.8"/>
    <n v="1.7"/>
    <n v="0.3"/>
    <x v="0"/>
    <n v="21.66"/>
    <n v="0.51"/>
    <s v="Petite"/>
  </r>
  <r>
    <n v="20"/>
    <n v="5.0999999999999996"/>
    <n v="3.8"/>
    <n v="1.5"/>
    <n v="0.3"/>
    <x v="0"/>
    <n v="19.38"/>
    <n v="0.44999999999999996"/>
    <s v="Petite"/>
  </r>
  <r>
    <n v="21"/>
    <n v="5.4"/>
    <n v="3.4"/>
    <n v="1.7"/>
    <n v="0.2"/>
    <x v="0"/>
    <n v="18.36"/>
    <n v="0.34"/>
    <s v="Petite"/>
  </r>
  <r>
    <n v="22"/>
    <n v="5.0999999999999996"/>
    <n v="3.7"/>
    <n v="1.5"/>
    <n v="0.4"/>
    <x v="0"/>
    <n v="18.87"/>
    <n v="0.60000000000000009"/>
    <s v="Petite"/>
  </r>
  <r>
    <n v="23"/>
    <n v="4.5999999999999996"/>
    <n v="3.6"/>
    <n v="1"/>
    <n v="0.2"/>
    <x v="0"/>
    <n v="16.559999999999999"/>
    <n v="0.2"/>
    <s v="Petite"/>
  </r>
  <r>
    <n v="24"/>
    <n v="5.0999999999999996"/>
    <n v="3.3"/>
    <n v="1.7"/>
    <n v="0.5"/>
    <x v="0"/>
    <n v="16.829999999999998"/>
    <n v="0.85"/>
    <s v="Petite"/>
  </r>
  <r>
    <n v="25"/>
    <n v="4.8"/>
    <n v="3.4"/>
    <n v="1.9"/>
    <n v="0.2"/>
    <x v="0"/>
    <n v="16.32"/>
    <n v="0.38"/>
    <s v="Petite"/>
  </r>
  <r>
    <n v="26"/>
    <n v="5"/>
    <n v="3"/>
    <n v="1.6"/>
    <n v="0.2"/>
    <x v="0"/>
    <n v="15"/>
    <n v="0.32000000000000006"/>
    <s v="Petite"/>
  </r>
  <r>
    <n v="27"/>
    <n v="5"/>
    <n v="3.4"/>
    <n v="1.6"/>
    <n v="0.4"/>
    <x v="0"/>
    <n v="17"/>
    <n v="0.64000000000000012"/>
    <s v="Petite"/>
  </r>
  <r>
    <n v="28"/>
    <n v="5.2"/>
    <n v="3.5"/>
    <n v="1.5"/>
    <n v="0.2"/>
    <x v="0"/>
    <n v="18.2"/>
    <n v="0.30000000000000004"/>
    <s v="Petite"/>
  </r>
  <r>
    <n v="29"/>
    <n v="5.2"/>
    <n v="3.4"/>
    <n v="1.4"/>
    <n v="0.2"/>
    <x v="0"/>
    <n v="17.68"/>
    <n v="0.27999999999999997"/>
    <s v="Petite"/>
  </r>
  <r>
    <n v="30"/>
    <n v="4.7"/>
    <n v="3.2"/>
    <n v="1.6"/>
    <n v="0.2"/>
    <x v="0"/>
    <n v="15.040000000000001"/>
    <n v="0.32000000000000006"/>
    <s v="Petite"/>
  </r>
  <r>
    <n v="31"/>
    <n v="4.8"/>
    <n v="3.1"/>
    <n v="1.6"/>
    <n v="0.2"/>
    <x v="0"/>
    <n v="14.879999999999999"/>
    <n v="0.32000000000000006"/>
    <s v="Petite"/>
  </r>
  <r>
    <n v="32"/>
    <n v="5.4"/>
    <n v="3.4"/>
    <n v="1.5"/>
    <n v="0.4"/>
    <x v="0"/>
    <n v="18.36"/>
    <n v="0.60000000000000009"/>
    <s v="Petite"/>
  </r>
  <r>
    <n v="33"/>
    <n v="5.2"/>
    <n v="4.0999999999999996"/>
    <n v="1.5"/>
    <n v="0.1"/>
    <x v="0"/>
    <n v="21.32"/>
    <n v="0.15000000000000002"/>
    <s v="Petite"/>
  </r>
  <r>
    <n v="34"/>
    <n v="5.5"/>
    <n v="4.2"/>
    <n v="1.4"/>
    <n v="0.2"/>
    <x v="0"/>
    <n v="23.1"/>
    <n v="0.27999999999999997"/>
    <s v="Petite"/>
  </r>
  <r>
    <n v="35"/>
    <n v="4.9000000000000004"/>
    <n v="3.1"/>
    <n v="1.5"/>
    <n v="0.1"/>
    <x v="0"/>
    <n v="15.190000000000001"/>
    <n v="0.15000000000000002"/>
    <s v="Petite"/>
  </r>
  <r>
    <n v="36"/>
    <n v="5"/>
    <n v="3.2"/>
    <n v="1.2"/>
    <n v="0.2"/>
    <x v="0"/>
    <n v="16"/>
    <n v="0.24"/>
    <s v="Petite"/>
  </r>
  <r>
    <n v="37"/>
    <n v="5.5"/>
    <n v="3.5"/>
    <n v="1.3"/>
    <n v="0.2"/>
    <x v="0"/>
    <n v="19.25"/>
    <n v="0.26"/>
    <s v="Petite"/>
  </r>
  <r>
    <n v="38"/>
    <n v="4.9000000000000004"/>
    <n v="3.1"/>
    <n v="1.5"/>
    <n v="0.1"/>
    <x v="0"/>
    <n v="15.190000000000001"/>
    <n v="0.15000000000000002"/>
    <s v="Petite"/>
  </r>
  <r>
    <n v="39"/>
    <n v="4.4000000000000004"/>
    <n v="3"/>
    <n v="1.3"/>
    <n v="0.2"/>
    <x v="0"/>
    <n v="13.200000000000001"/>
    <n v="0.26"/>
    <s v="Petite"/>
  </r>
  <r>
    <n v="40"/>
    <n v="5.0999999999999996"/>
    <n v="3.4"/>
    <n v="1.5"/>
    <n v="0.2"/>
    <x v="0"/>
    <n v="17.34"/>
    <n v="0.30000000000000004"/>
    <s v="Petite"/>
  </r>
  <r>
    <n v="41"/>
    <n v="5"/>
    <n v="3.5"/>
    <n v="1.3"/>
    <n v="0.3"/>
    <x v="0"/>
    <n v="17.5"/>
    <n v="0.39"/>
    <s v="Petite"/>
  </r>
  <r>
    <n v="42"/>
    <n v="4.5"/>
    <n v="2.2999999999999998"/>
    <n v="1.3"/>
    <n v="0.3"/>
    <x v="0"/>
    <n v="10.35"/>
    <n v="0.39"/>
    <s v="Petite"/>
  </r>
  <r>
    <n v="43"/>
    <n v="4.4000000000000004"/>
    <n v="3.2"/>
    <n v="1.3"/>
    <n v="0.2"/>
    <x v="0"/>
    <n v="14.080000000000002"/>
    <n v="0.26"/>
    <s v="Petite"/>
  </r>
  <r>
    <n v="44"/>
    <n v="5"/>
    <n v="3.5"/>
    <n v="1.6"/>
    <n v="0.6"/>
    <x v="0"/>
    <n v="17.5"/>
    <n v="0.96"/>
    <s v="Petite"/>
  </r>
  <r>
    <n v="45"/>
    <n v="5.0999999999999996"/>
    <n v="3.8"/>
    <n v="1.9"/>
    <n v="0.4"/>
    <x v="0"/>
    <n v="19.38"/>
    <n v="0.76"/>
    <s v="Petite"/>
  </r>
  <r>
    <n v="46"/>
    <n v="4.8"/>
    <n v="3"/>
    <n v="1.4"/>
    <n v="0.3"/>
    <x v="0"/>
    <n v="14.399999999999999"/>
    <n v="0.42"/>
    <s v="Petite"/>
  </r>
  <r>
    <n v="47"/>
    <n v="5.0999999999999996"/>
    <n v="3.8"/>
    <n v="1.6"/>
    <n v="0.2"/>
    <x v="0"/>
    <n v="19.38"/>
    <n v="0.32000000000000006"/>
    <s v="Petite"/>
  </r>
  <r>
    <n v="48"/>
    <n v="4.5999999999999996"/>
    <n v="3.2"/>
    <n v="1.4"/>
    <n v="0.2"/>
    <x v="0"/>
    <n v="14.719999999999999"/>
    <n v="0.27999999999999997"/>
    <s v="Petite"/>
  </r>
  <r>
    <n v="49"/>
    <n v="5.3"/>
    <n v="3.7"/>
    <n v="1.5"/>
    <n v="0.2"/>
    <x v="0"/>
    <n v="19.61"/>
    <n v="0.30000000000000004"/>
    <s v="Petite"/>
  </r>
  <r>
    <n v="50"/>
    <n v="5"/>
    <n v="3.3"/>
    <n v="1.4"/>
    <n v="0.2"/>
    <x v="0"/>
    <n v="16.5"/>
    <n v="0.27999999999999997"/>
    <s v="Petite"/>
  </r>
  <r>
    <n v="51"/>
    <n v="7"/>
    <n v="3.2"/>
    <n v="4.7"/>
    <n v="1.4"/>
    <x v="1"/>
    <n v="22.400000000000002"/>
    <n v="6.58"/>
    <s v="Grande"/>
  </r>
  <r>
    <n v="52"/>
    <n v="6.4"/>
    <n v="3.2"/>
    <n v="4.5"/>
    <n v="1.5"/>
    <x v="1"/>
    <n v="20.480000000000004"/>
    <n v="6.75"/>
    <s v="Grande"/>
  </r>
  <r>
    <n v="53"/>
    <n v="6.9"/>
    <n v="3.1"/>
    <n v="4.9000000000000004"/>
    <n v="1.5"/>
    <x v="1"/>
    <n v="21.39"/>
    <n v="7.3500000000000005"/>
    <s v="Grande"/>
  </r>
  <r>
    <n v="54"/>
    <n v="5.5"/>
    <n v="2.2999999999999998"/>
    <n v="4"/>
    <n v="1.3"/>
    <x v="1"/>
    <n v="12.649999999999999"/>
    <n v="5.2"/>
    <s v="Grande"/>
  </r>
  <r>
    <n v="55"/>
    <n v="6.5"/>
    <n v="2.8"/>
    <n v="4.5999999999999996"/>
    <n v="1.5"/>
    <x v="1"/>
    <n v="18.2"/>
    <n v="6.8999999999999995"/>
    <s v="Grande"/>
  </r>
  <r>
    <n v="56"/>
    <n v="5.7"/>
    <n v="2.8"/>
    <n v="4.5"/>
    <n v="1.3"/>
    <x v="1"/>
    <n v="15.959999999999999"/>
    <n v="5.8500000000000005"/>
    <s v="Grande"/>
  </r>
  <r>
    <n v="57"/>
    <n v="6.3"/>
    <n v="3.3"/>
    <n v="4.7"/>
    <n v="1.6"/>
    <x v="1"/>
    <n v="20.79"/>
    <n v="7.5200000000000005"/>
    <s v="Grande"/>
  </r>
  <r>
    <n v="58"/>
    <n v="4.9000000000000004"/>
    <n v="2.4"/>
    <n v="3.3"/>
    <n v="1"/>
    <x v="1"/>
    <n v="11.76"/>
    <n v="3.3"/>
    <s v="Moyenne"/>
  </r>
  <r>
    <n v="59"/>
    <n v="6.6"/>
    <n v="2.9"/>
    <n v="4.5999999999999996"/>
    <n v="1.3"/>
    <x v="1"/>
    <n v="19.139999999999997"/>
    <n v="5.9799999999999995"/>
    <s v="Grande"/>
  </r>
  <r>
    <n v="60"/>
    <n v="5.2"/>
    <n v="2.7"/>
    <n v="3.9"/>
    <n v="1.4"/>
    <x v="1"/>
    <n v="14.040000000000001"/>
    <n v="5.46"/>
    <s v="Grande"/>
  </r>
  <r>
    <n v="61"/>
    <n v="5"/>
    <n v="2"/>
    <n v="3.5"/>
    <n v="1"/>
    <x v="1"/>
    <n v="10"/>
    <n v="3.5"/>
    <s v="Moyenne"/>
  </r>
  <r>
    <n v="62"/>
    <n v="5.9"/>
    <n v="3"/>
    <n v="4.2"/>
    <n v="1.5"/>
    <x v="1"/>
    <n v="17.700000000000003"/>
    <n v="6.3000000000000007"/>
    <s v="Grande"/>
  </r>
  <r>
    <n v="63"/>
    <n v="6"/>
    <n v="2.2000000000000002"/>
    <n v="4"/>
    <n v="1"/>
    <x v="1"/>
    <n v="13.200000000000001"/>
    <n v="4"/>
    <s v="Moyenne"/>
  </r>
  <r>
    <n v="64"/>
    <n v="6.1"/>
    <n v="2.9"/>
    <n v="4.7"/>
    <n v="1.4"/>
    <x v="1"/>
    <n v="17.689999999999998"/>
    <n v="6.58"/>
    <s v="Grande"/>
  </r>
  <r>
    <n v="65"/>
    <n v="5.6"/>
    <n v="2.9"/>
    <n v="3.6"/>
    <n v="1.3"/>
    <x v="1"/>
    <n v="16.239999999999998"/>
    <n v="4.6800000000000006"/>
    <s v="Moyenne"/>
  </r>
  <r>
    <n v="66"/>
    <n v="6.7"/>
    <n v="3.1"/>
    <n v="4.4000000000000004"/>
    <n v="1.4"/>
    <x v="1"/>
    <n v="20.77"/>
    <n v="6.16"/>
    <s v="Grande"/>
  </r>
  <r>
    <n v="67"/>
    <n v="5.6"/>
    <n v="3"/>
    <n v="4.5"/>
    <n v="1.5"/>
    <x v="1"/>
    <n v="16.799999999999997"/>
    <n v="6.75"/>
    <s v="Grande"/>
  </r>
  <r>
    <n v="68"/>
    <n v="5.8"/>
    <n v="2.7"/>
    <n v="4.0999999999999996"/>
    <n v="1"/>
    <x v="1"/>
    <n v="15.66"/>
    <n v="4.0999999999999996"/>
    <s v="Moyenne"/>
  </r>
  <r>
    <n v="69"/>
    <n v="6.2"/>
    <n v="2.2000000000000002"/>
    <n v="4.5"/>
    <n v="1.5"/>
    <x v="1"/>
    <n v="13.640000000000002"/>
    <n v="6.75"/>
    <s v="Grande"/>
  </r>
  <r>
    <n v="70"/>
    <n v="5.6"/>
    <n v="2.5"/>
    <n v="3.9"/>
    <n v="1.1000000000000001"/>
    <x v="1"/>
    <n v="14"/>
    <n v="4.29"/>
    <s v="Moyenne"/>
  </r>
  <r>
    <n v="71"/>
    <n v="5.9"/>
    <n v="3.2"/>
    <n v="4.8"/>
    <n v="1.8"/>
    <x v="1"/>
    <n v="18.880000000000003"/>
    <n v="8.64"/>
    <s v="Grande"/>
  </r>
  <r>
    <n v="72"/>
    <n v="6.1"/>
    <n v="2.8"/>
    <n v="4"/>
    <n v="1.3"/>
    <x v="1"/>
    <n v="17.079999999999998"/>
    <n v="5.2"/>
    <s v="Grande"/>
  </r>
  <r>
    <n v="73"/>
    <n v="6.3"/>
    <n v="2.5"/>
    <n v="4.9000000000000004"/>
    <n v="1.5"/>
    <x v="1"/>
    <n v="15.75"/>
    <n v="7.3500000000000005"/>
    <s v="Grande"/>
  </r>
  <r>
    <n v="74"/>
    <n v="6.1"/>
    <n v="2.8"/>
    <n v="4.7"/>
    <n v="1.2"/>
    <x v="1"/>
    <n v="17.079999999999998"/>
    <n v="5.64"/>
    <s v="Grande"/>
  </r>
  <r>
    <n v="75"/>
    <n v="6.4"/>
    <n v="2.9"/>
    <n v="4.3"/>
    <n v="1.3"/>
    <x v="1"/>
    <n v="18.559999999999999"/>
    <n v="5.59"/>
    <s v="Grande"/>
  </r>
  <r>
    <n v="76"/>
    <n v="6.6"/>
    <n v="3"/>
    <n v="4.4000000000000004"/>
    <n v="1.4"/>
    <x v="1"/>
    <n v="19.799999999999997"/>
    <n v="6.16"/>
    <s v="Grande"/>
  </r>
  <r>
    <n v="77"/>
    <n v="6.8"/>
    <n v="2.8"/>
    <n v="4.8"/>
    <n v="1.4"/>
    <x v="1"/>
    <n v="19.04"/>
    <n v="6.72"/>
    <s v="Grande"/>
  </r>
  <r>
    <n v="78"/>
    <n v="6.7"/>
    <n v="3"/>
    <n v="5"/>
    <n v="1.7"/>
    <x v="1"/>
    <n v="20.100000000000001"/>
    <n v="8.5"/>
    <s v="Grande"/>
  </r>
  <r>
    <n v="79"/>
    <n v="6"/>
    <n v="2.9"/>
    <n v="4.5"/>
    <n v="1.5"/>
    <x v="1"/>
    <n v="17.399999999999999"/>
    <n v="6.75"/>
    <s v="Grande"/>
  </r>
  <r>
    <n v="80"/>
    <n v="5.7"/>
    <n v="2.6"/>
    <n v="3.5"/>
    <n v="1"/>
    <x v="1"/>
    <n v="14.82"/>
    <n v="3.5"/>
    <s v="Moyenne"/>
  </r>
  <r>
    <n v="81"/>
    <n v="5.5"/>
    <n v="2.4"/>
    <n v="3.8"/>
    <n v="1.1000000000000001"/>
    <x v="1"/>
    <n v="13.2"/>
    <n v="4.18"/>
    <s v="Moyenne"/>
  </r>
  <r>
    <n v="82"/>
    <n v="5.5"/>
    <n v="2.4"/>
    <n v="3.7"/>
    <n v="1"/>
    <x v="1"/>
    <n v="13.2"/>
    <n v="3.7"/>
    <s v="Moyenne"/>
  </r>
  <r>
    <n v="83"/>
    <n v="5.8"/>
    <n v="2.7"/>
    <n v="3.9"/>
    <n v="1.2"/>
    <x v="1"/>
    <n v="15.66"/>
    <n v="4.68"/>
    <s v="Moyenne"/>
  </r>
  <r>
    <n v="84"/>
    <n v="6"/>
    <n v="2.7"/>
    <n v="5.0999999999999996"/>
    <n v="1.6"/>
    <x v="1"/>
    <n v="16.200000000000003"/>
    <n v="8.16"/>
    <s v="Grande"/>
  </r>
  <r>
    <n v="85"/>
    <n v="5.4"/>
    <n v="3"/>
    <n v="4.5"/>
    <n v="1.5"/>
    <x v="1"/>
    <n v="16.200000000000003"/>
    <n v="6.75"/>
    <s v="Grande"/>
  </r>
  <r>
    <n v="86"/>
    <n v="6"/>
    <n v="3.4"/>
    <n v="4.5"/>
    <n v="1.6"/>
    <x v="1"/>
    <n v="20.399999999999999"/>
    <n v="7.2"/>
    <s v="Grande"/>
  </r>
  <r>
    <n v="87"/>
    <n v="6.7"/>
    <n v="3.1"/>
    <n v="4.7"/>
    <n v="1.5"/>
    <x v="1"/>
    <n v="20.77"/>
    <n v="7.0500000000000007"/>
    <s v="Grande"/>
  </r>
  <r>
    <n v="88"/>
    <n v="6.3"/>
    <n v="2.2999999999999998"/>
    <n v="4.4000000000000004"/>
    <n v="1.3"/>
    <x v="1"/>
    <n v="14.489999999999998"/>
    <n v="5.7200000000000006"/>
    <s v="Grande"/>
  </r>
  <r>
    <n v="89"/>
    <n v="5.6"/>
    <n v="3"/>
    <n v="4.0999999999999996"/>
    <n v="1.3"/>
    <x v="1"/>
    <n v="16.799999999999997"/>
    <n v="5.33"/>
    <s v="Grande"/>
  </r>
  <r>
    <n v="90"/>
    <n v="5.5"/>
    <n v="2.5"/>
    <n v="4"/>
    <n v="1.3"/>
    <x v="1"/>
    <n v="13.75"/>
    <n v="5.2"/>
    <s v="Grande"/>
  </r>
  <r>
    <n v="91"/>
    <n v="5.5"/>
    <n v="2.6"/>
    <n v="4.4000000000000004"/>
    <n v="1.2"/>
    <x v="1"/>
    <n v="14.3"/>
    <n v="5.28"/>
    <s v="Grande"/>
  </r>
  <r>
    <n v="92"/>
    <n v="6.1"/>
    <n v="3"/>
    <n v="4.5999999999999996"/>
    <n v="1.4"/>
    <x v="1"/>
    <n v="18.299999999999997"/>
    <n v="6.4399999999999995"/>
    <s v="Grande"/>
  </r>
  <r>
    <n v="93"/>
    <n v="5.8"/>
    <n v="2.6"/>
    <n v="4"/>
    <n v="1.2"/>
    <x v="1"/>
    <n v="15.08"/>
    <n v="4.8"/>
    <s v="Moyenne"/>
  </r>
  <r>
    <n v="94"/>
    <n v="5"/>
    <n v="2.2999999999999998"/>
    <n v="3.3"/>
    <n v="1"/>
    <x v="1"/>
    <n v="11.5"/>
    <n v="3.3"/>
    <s v="Moyenne"/>
  </r>
  <r>
    <n v="95"/>
    <n v="5.6"/>
    <n v="2.7"/>
    <n v="4.2"/>
    <n v="1.3"/>
    <x v="1"/>
    <n v="15.12"/>
    <n v="5.4600000000000009"/>
    <s v="Grande"/>
  </r>
  <r>
    <n v="96"/>
    <n v="5.7"/>
    <n v="3"/>
    <n v="4.2"/>
    <n v="1.2"/>
    <x v="1"/>
    <n v="17.100000000000001"/>
    <n v="5.04"/>
    <s v="Grande"/>
  </r>
  <r>
    <n v="97"/>
    <n v="5.7"/>
    <n v="2.9"/>
    <n v="4.2"/>
    <n v="1.3"/>
    <x v="1"/>
    <n v="16.53"/>
    <n v="5.4600000000000009"/>
    <s v="Grande"/>
  </r>
  <r>
    <n v="98"/>
    <n v="6.2"/>
    <n v="2.9"/>
    <n v="4.3"/>
    <n v="1.3"/>
    <x v="1"/>
    <n v="17.98"/>
    <n v="5.59"/>
    <s v="Grande"/>
  </r>
  <r>
    <n v="99"/>
    <n v="5.0999999999999996"/>
    <n v="2.5"/>
    <n v="3"/>
    <n v="1.1000000000000001"/>
    <x v="1"/>
    <n v="12.75"/>
    <n v="3.3000000000000003"/>
    <s v="Moyenne"/>
  </r>
  <r>
    <n v="100"/>
    <n v="5.7"/>
    <n v="2.8"/>
    <n v="4.0999999999999996"/>
    <n v="1.3"/>
    <x v="1"/>
    <n v="15.959999999999999"/>
    <n v="5.33"/>
    <s v="Grande"/>
  </r>
  <r>
    <n v="101"/>
    <n v="6.3"/>
    <n v="3.3"/>
    <n v="6"/>
    <n v="2.5"/>
    <x v="2"/>
    <n v="20.79"/>
    <n v="15"/>
    <s v="Grande"/>
  </r>
  <r>
    <n v="102"/>
    <n v="5.8"/>
    <n v="2.7"/>
    <n v="5.0999999999999996"/>
    <n v="1.9"/>
    <x v="2"/>
    <n v="15.66"/>
    <n v="9.69"/>
    <s v="Grande"/>
  </r>
  <r>
    <n v="103"/>
    <n v="7.1"/>
    <n v="3"/>
    <n v="5.9"/>
    <n v="2.1"/>
    <x v="2"/>
    <n v="21.299999999999997"/>
    <n v="12.39"/>
    <s v="Grande"/>
  </r>
  <r>
    <n v="104"/>
    <n v="6.3"/>
    <n v="2.9"/>
    <n v="5.6"/>
    <n v="1.8"/>
    <x v="2"/>
    <n v="18.27"/>
    <n v="10.08"/>
    <s v="Grande"/>
  </r>
  <r>
    <n v="105"/>
    <n v="6.5"/>
    <n v="3"/>
    <n v="5.8"/>
    <n v="2.2000000000000002"/>
    <x v="2"/>
    <n v="19.5"/>
    <n v="12.76"/>
    <s v="Grande"/>
  </r>
  <r>
    <n v="106"/>
    <n v="7.6"/>
    <n v="3"/>
    <n v="6.6"/>
    <n v="2.1"/>
    <x v="2"/>
    <n v="22.799999999999997"/>
    <n v="13.86"/>
    <s v="Grande"/>
  </r>
  <r>
    <n v="107"/>
    <n v="4.9000000000000004"/>
    <n v="2.5"/>
    <n v="4.5"/>
    <n v="1.7"/>
    <x v="2"/>
    <n v="12.25"/>
    <n v="7.6499999999999995"/>
    <s v="Grande"/>
  </r>
  <r>
    <n v="108"/>
    <n v="7.3"/>
    <n v="2.9"/>
    <n v="6.3"/>
    <n v="1.8"/>
    <x v="2"/>
    <n v="21.169999999999998"/>
    <n v="11.34"/>
    <s v="Grande"/>
  </r>
  <r>
    <n v="109"/>
    <n v="6.7"/>
    <n v="2.5"/>
    <n v="5.8"/>
    <n v="1.8"/>
    <x v="2"/>
    <n v="16.75"/>
    <n v="10.44"/>
    <s v="Grande"/>
  </r>
  <r>
    <n v="110"/>
    <n v="7.2"/>
    <n v="3.6"/>
    <n v="6.1"/>
    <n v="2.5"/>
    <x v="2"/>
    <n v="25.92"/>
    <n v="15.25"/>
    <s v="Grande"/>
  </r>
  <r>
    <n v="111"/>
    <n v="6.5"/>
    <n v="3.2"/>
    <n v="5.0999999999999996"/>
    <n v="2"/>
    <x v="2"/>
    <n v="20.8"/>
    <n v="10.199999999999999"/>
    <s v="Grande"/>
  </r>
  <r>
    <n v="112"/>
    <n v="6.4"/>
    <n v="2.7"/>
    <n v="5.3"/>
    <n v="1.9"/>
    <x v="2"/>
    <n v="17.28"/>
    <n v="10.069999999999999"/>
    <s v="Grande"/>
  </r>
  <r>
    <n v="113"/>
    <n v="6.8"/>
    <n v="3"/>
    <n v="5.5"/>
    <n v="2.1"/>
    <x v="2"/>
    <n v="20.399999999999999"/>
    <n v="11.55"/>
    <s v="Grande"/>
  </r>
  <r>
    <n v="114"/>
    <n v="5.7"/>
    <n v="2.5"/>
    <n v="5"/>
    <n v="2"/>
    <x v="2"/>
    <n v="14.25"/>
    <n v="10"/>
    <s v="Grande"/>
  </r>
  <r>
    <n v="115"/>
    <n v="5.8"/>
    <n v="2.8"/>
    <n v="5.0999999999999996"/>
    <n v="2.4"/>
    <x v="2"/>
    <n v="16.239999999999998"/>
    <n v="12.239999999999998"/>
    <s v="Grande"/>
  </r>
  <r>
    <n v="116"/>
    <n v="6.4"/>
    <n v="3.2"/>
    <n v="5.3"/>
    <n v="2.2999999999999998"/>
    <x v="2"/>
    <n v="20.480000000000004"/>
    <n v="12.19"/>
    <s v="Grande"/>
  </r>
  <r>
    <n v="117"/>
    <n v="6.5"/>
    <n v="3"/>
    <n v="5.5"/>
    <n v="1.8"/>
    <x v="2"/>
    <n v="19.5"/>
    <n v="9.9"/>
    <s v="Grande"/>
  </r>
  <r>
    <n v="118"/>
    <n v="7.7"/>
    <n v="3.8"/>
    <n v="6.7"/>
    <n v="2.2000000000000002"/>
    <x v="2"/>
    <n v="29.259999999999998"/>
    <n v="14.740000000000002"/>
    <s v="Grande"/>
  </r>
  <r>
    <n v="119"/>
    <n v="7.7"/>
    <n v="2.6"/>
    <n v="6.9"/>
    <n v="2.2999999999999998"/>
    <x v="2"/>
    <n v="20.02"/>
    <n v="15.87"/>
    <s v="Grande"/>
  </r>
  <r>
    <n v="120"/>
    <n v="6"/>
    <n v="2.2000000000000002"/>
    <n v="5"/>
    <n v="1.5"/>
    <x v="2"/>
    <n v="13.200000000000001"/>
    <n v="7.5"/>
    <s v="Grande"/>
  </r>
  <r>
    <n v="121"/>
    <n v="6.9"/>
    <n v="3.2"/>
    <n v="5.7"/>
    <n v="2.2999999999999998"/>
    <x v="2"/>
    <n v="22.080000000000002"/>
    <n v="13.11"/>
    <s v="Grande"/>
  </r>
  <r>
    <n v="122"/>
    <n v="5.6"/>
    <n v="2.8"/>
    <n v="4.9000000000000004"/>
    <n v="2"/>
    <x v="2"/>
    <n v="15.679999999999998"/>
    <n v="9.8000000000000007"/>
    <s v="Grande"/>
  </r>
  <r>
    <n v="123"/>
    <n v="7.7"/>
    <n v="2.8"/>
    <n v="6.7"/>
    <n v="2"/>
    <x v="2"/>
    <n v="21.56"/>
    <n v="13.4"/>
    <s v="Grande"/>
  </r>
  <r>
    <n v="124"/>
    <n v="6.3"/>
    <n v="2.7"/>
    <n v="4.9000000000000004"/>
    <n v="1.8"/>
    <x v="2"/>
    <n v="17.010000000000002"/>
    <n v="8.82"/>
    <s v="Grande"/>
  </r>
  <r>
    <n v="125"/>
    <n v="6.7"/>
    <n v="3.3"/>
    <n v="5.7"/>
    <n v="2.1"/>
    <x v="2"/>
    <n v="22.11"/>
    <n v="11.97"/>
    <s v="Grande"/>
  </r>
  <r>
    <n v="126"/>
    <n v="7.2"/>
    <n v="3.2"/>
    <n v="6"/>
    <n v="1.8"/>
    <x v="2"/>
    <n v="23.040000000000003"/>
    <n v="10.8"/>
    <s v="Grande"/>
  </r>
  <r>
    <n v="127"/>
    <n v="6.2"/>
    <n v="2.8"/>
    <n v="4.8"/>
    <n v="1.8"/>
    <x v="2"/>
    <n v="17.36"/>
    <n v="8.64"/>
    <s v="Grande"/>
  </r>
  <r>
    <n v="128"/>
    <n v="6.1"/>
    <n v="3"/>
    <n v="4.9000000000000004"/>
    <n v="1.8"/>
    <x v="2"/>
    <n v="18.299999999999997"/>
    <n v="8.82"/>
    <s v="Grande"/>
  </r>
  <r>
    <n v="129"/>
    <n v="6.4"/>
    <n v="2.8"/>
    <n v="5.6"/>
    <n v="2.1"/>
    <x v="2"/>
    <n v="17.919999999999998"/>
    <n v="11.76"/>
    <s v="Grande"/>
  </r>
  <r>
    <n v="130"/>
    <n v="7.2"/>
    <n v="3"/>
    <n v="5.8"/>
    <n v="1.6"/>
    <x v="2"/>
    <n v="21.6"/>
    <n v="9.2799999999999994"/>
    <s v="Grande"/>
  </r>
  <r>
    <n v="131"/>
    <n v="7.4"/>
    <n v="2.8"/>
    <n v="6.1"/>
    <n v="1.9"/>
    <x v="2"/>
    <n v="20.72"/>
    <n v="11.589999999999998"/>
    <s v="Grande"/>
  </r>
  <r>
    <n v="132"/>
    <n v="7.9"/>
    <n v="3.8"/>
    <n v="6.4"/>
    <n v="2"/>
    <x v="2"/>
    <n v="30.02"/>
    <n v="12.8"/>
    <s v="Grande"/>
  </r>
  <r>
    <n v="133"/>
    <n v="6.4"/>
    <n v="2.8"/>
    <n v="5.6"/>
    <n v="2.2000000000000002"/>
    <x v="2"/>
    <n v="17.919999999999998"/>
    <n v="12.32"/>
    <s v="Grande"/>
  </r>
  <r>
    <n v="134"/>
    <n v="6.3"/>
    <n v="2.8"/>
    <n v="5.0999999999999996"/>
    <n v="1.5"/>
    <x v="2"/>
    <n v="17.639999999999997"/>
    <n v="7.6499999999999995"/>
    <s v="Grande"/>
  </r>
  <r>
    <n v="135"/>
    <n v="6.1"/>
    <n v="2.6"/>
    <n v="5.6"/>
    <n v="1.4"/>
    <x v="2"/>
    <n v="15.86"/>
    <n v="7.839999999999999"/>
    <s v="Grande"/>
  </r>
  <r>
    <n v="136"/>
    <n v="7.7"/>
    <n v="3"/>
    <n v="6.1"/>
    <n v="2.2999999999999998"/>
    <x v="2"/>
    <n v="23.1"/>
    <n v="14.029999999999998"/>
    <s v="Grande"/>
  </r>
  <r>
    <n v="137"/>
    <n v="6.3"/>
    <n v="3.4"/>
    <n v="5.6"/>
    <n v="2.4"/>
    <x v="2"/>
    <n v="21.419999999999998"/>
    <n v="13.44"/>
    <s v="Grande"/>
  </r>
  <r>
    <n v="138"/>
    <n v="6.4"/>
    <n v="3.1"/>
    <n v="5.5"/>
    <n v="1.8"/>
    <x v="2"/>
    <n v="19.840000000000003"/>
    <n v="9.9"/>
    <s v="Grande"/>
  </r>
  <r>
    <n v="139"/>
    <n v="6"/>
    <n v="3"/>
    <n v="4.8"/>
    <n v="1.8"/>
    <x v="2"/>
    <n v="18"/>
    <n v="8.64"/>
    <s v="Grande"/>
  </r>
  <r>
    <n v="140"/>
    <n v="6.9"/>
    <n v="3.1"/>
    <n v="5.4"/>
    <n v="2.1"/>
    <x v="2"/>
    <n v="21.39"/>
    <n v="11.340000000000002"/>
    <s v="Grande"/>
  </r>
  <r>
    <n v="141"/>
    <n v="6.7"/>
    <n v="3.1"/>
    <n v="5.6"/>
    <n v="2.4"/>
    <x v="2"/>
    <n v="20.77"/>
    <n v="13.44"/>
    <s v="Grande"/>
  </r>
  <r>
    <n v="142"/>
    <n v="6.9"/>
    <n v="3.1"/>
    <n v="5.0999999999999996"/>
    <n v="2.2999999999999998"/>
    <x v="2"/>
    <n v="21.39"/>
    <n v="11.729999999999999"/>
    <s v="Grande"/>
  </r>
  <r>
    <n v="143"/>
    <n v="5.8"/>
    <n v="2.7"/>
    <n v="5.0999999999999996"/>
    <n v="1.9"/>
    <x v="2"/>
    <n v="15.66"/>
    <n v="9.69"/>
    <s v="Grande"/>
  </r>
  <r>
    <n v="144"/>
    <n v="6.8"/>
    <n v="3.2"/>
    <n v="5.9"/>
    <n v="2.2999999999999998"/>
    <x v="2"/>
    <n v="21.76"/>
    <n v="13.57"/>
    <s v="Grande"/>
  </r>
  <r>
    <n v="145"/>
    <n v="6.7"/>
    <n v="3.3"/>
    <n v="5.7"/>
    <n v="2.5"/>
    <x v="2"/>
    <n v="22.11"/>
    <n v="14.25"/>
    <s v="Grande"/>
  </r>
  <r>
    <n v="146"/>
    <n v="6.7"/>
    <n v="3"/>
    <n v="5.2"/>
    <n v="2.2999999999999998"/>
    <x v="2"/>
    <n v="20.100000000000001"/>
    <n v="11.959999999999999"/>
    <s v="Grande"/>
  </r>
  <r>
    <n v="147"/>
    <n v="6.3"/>
    <n v="2.5"/>
    <n v="5"/>
    <n v="1.9"/>
    <x v="2"/>
    <n v="15.75"/>
    <n v="9.5"/>
    <s v="Grande"/>
  </r>
  <r>
    <n v="148"/>
    <n v="6.5"/>
    <n v="3"/>
    <n v="5.2"/>
    <n v="2"/>
    <x v="2"/>
    <n v="19.5"/>
    <n v="10.4"/>
    <s v="Grande"/>
  </r>
  <r>
    <n v="149"/>
    <n v="6.2"/>
    <n v="3.4"/>
    <n v="5.4"/>
    <n v="2.2999999999999998"/>
    <x v="2"/>
    <n v="21.08"/>
    <n v="12.42"/>
    <s v="Grande"/>
  </r>
  <r>
    <n v="150"/>
    <n v="5.9"/>
    <n v="3"/>
    <n v="5.0999999999999996"/>
    <n v="1.8"/>
    <x v="2"/>
    <n v="17.700000000000003"/>
    <n v="9.18"/>
    <s v="Grande"/>
  </r>
</pivotCacheRecords>
</file>

<file path=xl/pivotCache/pivotCacheRecords2.xml><?xml version="1.0" encoding="utf-8"?>
<pivotCacheRecords xmlns="http://schemas.openxmlformats.org/spreadsheetml/2006/main" xmlns:r="http://schemas.openxmlformats.org/officeDocument/2006/relationships" count="150">
  <r>
    <n v="1"/>
    <n v="5.0999999999999996"/>
    <n v="3.5"/>
    <n v="1.4"/>
    <n v="0.2"/>
    <x v="0"/>
    <n v="17.849999999999998"/>
    <n v="0.27999999999999997"/>
    <s v="Petite"/>
  </r>
  <r>
    <n v="2"/>
    <n v="4.9000000000000004"/>
    <n v="3"/>
    <n v="1.4"/>
    <n v="0.2"/>
    <x v="0"/>
    <n v="14.700000000000001"/>
    <n v="0.27999999999999997"/>
    <s v="Petite"/>
  </r>
  <r>
    <n v="3"/>
    <n v="4.7"/>
    <n v="3.2"/>
    <n v="1.3"/>
    <n v="0.2"/>
    <x v="0"/>
    <n v="15.040000000000001"/>
    <n v="0.26"/>
    <s v="Petite"/>
  </r>
  <r>
    <n v="4"/>
    <n v="4.5999999999999996"/>
    <n v="3.1"/>
    <n v="1.5"/>
    <n v="0.2"/>
    <x v="0"/>
    <n v="14.26"/>
    <n v="0.30000000000000004"/>
    <s v="Petite"/>
  </r>
  <r>
    <n v="5"/>
    <n v="5"/>
    <n v="3.6"/>
    <n v="1.4"/>
    <n v="0.2"/>
    <x v="0"/>
    <n v="18"/>
    <n v="0.27999999999999997"/>
    <s v="Petite"/>
  </r>
  <r>
    <n v="6"/>
    <n v="5.4"/>
    <n v="3.9"/>
    <n v="1.7"/>
    <n v="0.4"/>
    <x v="0"/>
    <n v="21.060000000000002"/>
    <n v="0.68"/>
    <s v="Petite"/>
  </r>
  <r>
    <n v="7"/>
    <n v="4.5999999999999996"/>
    <n v="3.4"/>
    <n v="1.4"/>
    <n v="0.3"/>
    <x v="0"/>
    <n v="15.639999999999999"/>
    <n v="0.42"/>
    <s v="Petite"/>
  </r>
  <r>
    <n v="8"/>
    <n v="5"/>
    <n v="3.4"/>
    <n v="1.5"/>
    <n v="0.2"/>
    <x v="0"/>
    <n v="17"/>
    <n v="0.30000000000000004"/>
    <s v="Petite"/>
  </r>
  <r>
    <n v="9"/>
    <n v="4.4000000000000004"/>
    <n v="2.9"/>
    <n v="1.4"/>
    <n v="0.2"/>
    <x v="0"/>
    <n v="12.76"/>
    <n v="0.27999999999999997"/>
    <s v="Petite"/>
  </r>
  <r>
    <n v="10"/>
    <n v="4.9000000000000004"/>
    <n v="3.1"/>
    <n v="1.5"/>
    <n v="0.1"/>
    <x v="0"/>
    <n v="15.190000000000001"/>
    <n v="0.15000000000000002"/>
    <s v="Petite"/>
  </r>
  <r>
    <n v="11"/>
    <n v="5.4"/>
    <n v="3.7"/>
    <n v="1.5"/>
    <n v="0.2"/>
    <x v="0"/>
    <n v="19.980000000000004"/>
    <n v="0.30000000000000004"/>
    <s v="Petite"/>
  </r>
  <r>
    <n v="12"/>
    <n v="4.8"/>
    <n v="3.4"/>
    <n v="1.6"/>
    <n v="0.2"/>
    <x v="0"/>
    <n v="16.32"/>
    <n v="0.32000000000000006"/>
    <s v="Petite"/>
  </r>
  <r>
    <n v="13"/>
    <n v="4.8"/>
    <n v="3"/>
    <n v="1.4"/>
    <n v="0.1"/>
    <x v="0"/>
    <n v="14.399999999999999"/>
    <n v="0.13999999999999999"/>
    <s v="Petite"/>
  </r>
  <r>
    <n v="14"/>
    <n v="4.3"/>
    <n v="3"/>
    <n v="1.1000000000000001"/>
    <n v="0.1"/>
    <x v="0"/>
    <n v="12.899999999999999"/>
    <n v="0.11000000000000001"/>
    <s v="Petite"/>
  </r>
  <r>
    <n v="15"/>
    <n v="5.8"/>
    <n v="4"/>
    <n v="1.2"/>
    <n v="0.2"/>
    <x v="0"/>
    <n v="23.2"/>
    <n v="0.24"/>
    <s v="Petite"/>
  </r>
  <r>
    <n v="16"/>
    <n v="5.7"/>
    <n v="4.4000000000000004"/>
    <n v="1.5"/>
    <n v="0.4"/>
    <x v="0"/>
    <n v="25.080000000000002"/>
    <n v="0.60000000000000009"/>
    <s v="Petite"/>
  </r>
  <r>
    <n v="17"/>
    <n v="5.4"/>
    <n v="3.9"/>
    <n v="1.3"/>
    <n v="0.4"/>
    <x v="0"/>
    <n v="21.060000000000002"/>
    <n v="0.52"/>
    <s v="Petite"/>
  </r>
  <r>
    <n v="18"/>
    <n v="5.0999999999999996"/>
    <n v="3.5"/>
    <n v="1.4"/>
    <n v="0.3"/>
    <x v="0"/>
    <n v="17.849999999999998"/>
    <n v="0.42"/>
    <s v="Petite"/>
  </r>
  <r>
    <n v="19"/>
    <n v="5.7"/>
    <n v="3.8"/>
    <n v="1.7"/>
    <n v="0.3"/>
    <x v="0"/>
    <n v="21.66"/>
    <n v="0.51"/>
    <s v="Petite"/>
  </r>
  <r>
    <n v="20"/>
    <n v="5.0999999999999996"/>
    <n v="3.8"/>
    <n v="1.5"/>
    <n v="0.3"/>
    <x v="0"/>
    <n v="19.38"/>
    <n v="0.44999999999999996"/>
    <s v="Petite"/>
  </r>
  <r>
    <n v="21"/>
    <n v="5.4"/>
    <n v="3.4"/>
    <n v="1.7"/>
    <n v="0.2"/>
    <x v="0"/>
    <n v="18.36"/>
    <n v="0.34"/>
    <s v="Petite"/>
  </r>
  <r>
    <n v="22"/>
    <n v="5.0999999999999996"/>
    <n v="3.7"/>
    <n v="1.5"/>
    <n v="0.4"/>
    <x v="0"/>
    <n v="18.87"/>
    <n v="0.60000000000000009"/>
    <s v="Petite"/>
  </r>
  <r>
    <n v="23"/>
    <n v="4.5999999999999996"/>
    <n v="3.6"/>
    <n v="1"/>
    <n v="0.2"/>
    <x v="0"/>
    <n v="16.559999999999999"/>
    <n v="0.2"/>
    <s v="Petite"/>
  </r>
  <r>
    <n v="24"/>
    <n v="5.0999999999999996"/>
    <n v="3.3"/>
    <n v="1.7"/>
    <n v="0.5"/>
    <x v="0"/>
    <n v="16.829999999999998"/>
    <n v="0.85"/>
    <s v="Petite"/>
  </r>
  <r>
    <n v="25"/>
    <n v="4.8"/>
    <n v="3.4"/>
    <n v="1.9"/>
    <n v="0.2"/>
    <x v="0"/>
    <n v="16.32"/>
    <n v="0.38"/>
    <s v="Petite"/>
  </r>
  <r>
    <n v="26"/>
    <n v="5"/>
    <n v="3"/>
    <n v="1.6"/>
    <n v="0.2"/>
    <x v="0"/>
    <n v="15"/>
    <n v="0.32000000000000006"/>
    <s v="Petite"/>
  </r>
  <r>
    <n v="27"/>
    <n v="5"/>
    <n v="3.4"/>
    <n v="1.6"/>
    <n v="0.4"/>
    <x v="0"/>
    <n v="17"/>
    <n v="0.64000000000000012"/>
    <s v="Petite"/>
  </r>
  <r>
    <n v="28"/>
    <n v="5.2"/>
    <n v="3.5"/>
    <n v="1.5"/>
    <n v="0.2"/>
    <x v="0"/>
    <n v="18.2"/>
    <n v="0.30000000000000004"/>
    <s v="Petite"/>
  </r>
  <r>
    <n v="29"/>
    <n v="5.2"/>
    <n v="3.4"/>
    <n v="1.4"/>
    <n v="0.2"/>
    <x v="0"/>
    <n v="17.68"/>
    <n v="0.27999999999999997"/>
    <s v="Petite"/>
  </r>
  <r>
    <n v="30"/>
    <n v="4.7"/>
    <n v="3.2"/>
    <n v="1.6"/>
    <n v="0.2"/>
    <x v="0"/>
    <n v="15.040000000000001"/>
    <n v="0.32000000000000006"/>
    <s v="Petite"/>
  </r>
  <r>
    <n v="31"/>
    <n v="4.8"/>
    <n v="3.1"/>
    <n v="1.6"/>
    <n v="0.2"/>
    <x v="0"/>
    <n v="14.879999999999999"/>
    <n v="0.32000000000000006"/>
    <s v="Petite"/>
  </r>
  <r>
    <n v="32"/>
    <n v="5.4"/>
    <n v="3.4"/>
    <n v="1.5"/>
    <n v="0.4"/>
    <x v="0"/>
    <n v="18.36"/>
    <n v="0.60000000000000009"/>
    <s v="Petite"/>
  </r>
  <r>
    <n v="33"/>
    <n v="5.2"/>
    <n v="4.0999999999999996"/>
    <n v="1.5"/>
    <n v="0.1"/>
    <x v="0"/>
    <n v="21.32"/>
    <n v="0.15000000000000002"/>
    <s v="Petite"/>
  </r>
  <r>
    <n v="34"/>
    <n v="5.5"/>
    <n v="4.2"/>
    <n v="1.4"/>
    <n v="0.2"/>
    <x v="0"/>
    <n v="23.1"/>
    <n v="0.27999999999999997"/>
    <s v="Petite"/>
  </r>
  <r>
    <n v="35"/>
    <n v="4.9000000000000004"/>
    <n v="3.1"/>
    <n v="1.5"/>
    <n v="0.1"/>
    <x v="0"/>
    <n v="15.190000000000001"/>
    <n v="0.15000000000000002"/>
    <s v="Petite"/>
  </r>
  <r>
    <n v="36"/>
    <n v="5"/>
    <n v="3.2"/>
    <n v="1.2"/>
    <n v="0.2"/>
    <x v="0"/>
    <n v="16"/>
    <n v="0.24"/>
    <s v="Petite"/>
  </r>
  <r>
    <n v="37"/>
    <n v="5.5"/>
    <n v="3.5"/>
    <n v="1.3"/>
    <n v="0.2"/>
    <x v="0"/>
    <n v="19.25"/>
    <n v="0.26"/>
    <s v="Petite"/>
  </r>
  <r>
    <n v="38"/>
    <n v="4.9000000000000004"/>
    <n v="3.1"/>
    <n v="1.5"/>
    <n v="0.1"/>
    <x v="0"/>
    <n v="15.190000000000001"/>
    <n v="0.15000000000000002"/>
    <s v="Petite"/>
  </r>
  <r>
    <n v="39"/>
    <n v="4.4000000000000004"/>
    <n v="3"/>
    <n v="1.3"/>
    <n v="0.2"/>
    <x v="0"/>
    <n v="13.200000000000001"/>
    <n v="0.26"/>
    <s v="Petite"/>
  </r>
  <r>
    <n v="40"/>
    <n v="5.0999999999999996"/>
    <n v="3.4"/>
    <n v="1.5"/>
    <n v="0.2"/>
    <x v="0"/>
    <n v="17.34"/>
    <n v="0.30000000000000004"/>
    <s v="Petite"/>
  </r>
  <r>
    <n v="41"/>
    <n v="5"/>
    <n v="3.5"/>
    <n v="1.3"/>
    <n v="0.3"/>
    <x v="0"/>
    <n v="17.5"/>
    <n v="0.39"/>
    <s v="Petite"/>
  </r>
  <r>
    <n v="42"/>
    <n v="4.5"/>
    <n v="2.2999999999999998"/>
    <n v="1.3"/>
    <n v="0.3"/>
    <x v="0"/>
    <n v="10.35"/>
    <n v="0.39"/>
    <s v="Petite"/>
  </r>
  <r>
    <n v="43"/>
    <n v="4.4000000000000004"/>
    <n v="3.2"/>
    <n v="1.3"/>
    <n v="0.2"/>
    <x v="0"/>
    <n v="14.080000000000002"/>
    <n v="0.26"/>
    <s v="Petite"/>
  </r>
  <r>
    <n v="44"/>
    <n v="5"/>
    <n v="3.5"/>
    <n v="1.6"/>
    <n v="0.6"/>
    <x v="0"/>
    <n v="17.5"/>
    <n v="0.96"/>
    <s v="Petite"/>
  </r>
  <r>
    <n v="45"/>
    <n v="5.0999999999999996"/>
    <n v="3.8"/>
    <n v="1.9"/>
    <n v="0.4"/>
    <x v="0"/>
    <n v="19.38"/>
    <n v="0.76"/>
    <s v="Petite"/>
  </r>
  <r>
    <n v="46"/>
    <n v="4.8"/>
    <n v="3"/>
    <n v="1.4"/>
    <n v="0.3"/>
    <x v="0"/>
    <n v="14.399999999999999"/>
    <n v="0.42"/>
    <s v="Petite"/>
  </r>
  <r>
    <n v="47"/>
    <n v="5.0999999999999996"/>
    <n v="3.8"/>
    <n v="1.6"/>
    <n v="0.2"/>
    <x v="0"/>
    <n v="19.38"/>
    <n v="0.32000000000000006"/>
    <s v="Petite"/>
  </r>
  <r>
    <n v="48"/>
    <n v="4.5999999999999996"/>
    <n v="3.2"/>
    <n v="1.4"/>
    <n v="0.2"/>
    <x v="0"/>
    <n v="14.719999999999999"/>
    <n v="0.27999999999999997"/>
    <s v="Petite"/>
  </r>
  <r>
    <n v="49"/>
    <n v="5.3"/>
    <n v="3.7"/>
    <n v="1.5"/>
    <n v="0.2"/>
    <x v="0"/>
    <n v="19.61"/>
    <n v="0.30000000000000004"/>
    <s v="Petite"/>
  </r>
  <r>
    <n v="50"/>
    <n v="5"/>
    <n v="3.3"/>
    <n v="1.4"/>
    <n v="0.2"/>
    <x v="0"/>
    <n v="16.5"/>
    <n v="0.27999999999999997"/>
    <s v="Petite"/>
  </r>
  <r>
    <n v="51"/>
    <n v="7"/>
    <n v="3.2"/>
    <n v="4.7"/>
    <n v="1.4"/>
    <x v="1"/>
    <n v="22.400000000000002"/>
    <n v="6.58"/>
    <s v="Grande"/>
  </r>
  <r>
    <n v="52"/>
    <n v="6.4"/>
    <n v="3.2"/>
    <n v="4.5"/>
    <n v="1.5"/>
    <x v="1"/>
    <n v="20.480000000000004"/>
    <n v="6.75"/>
    <s v="Grande"/>
  </r>
  <r>
    <n v="53"/>
    <n v="6.9"/>
    <n v="3.1"/>
    <n v="4.9000000000000004"/>
    <n v="1.5"/>
    <x v="1"/>
    <n v="21.39"/>
    <n v="7.3500000000000005"/>
    <s v="Grande"/>
  </r>
  <r>
    <n v="54"/>
    <n v="5.5"/>
    <n v="2.2999999999999998"/>
    <n v="4"/>
    <n v="1.3"/>
    <x v="1"/>
    <n v="12.649999999999999"/>
    <n v="5.2"/>
    <s v="Grande"/>
  </r>
  <r>
    <n v="55"/>
    <n v="6.5"/>
    <n v="2.8"/>
    <n v="4.5999999999999996"/>
    <n v="1.5"/>
    <x v="1"/>
    <n v="18.2"/>
    <n v="6.8999999999999995"/>
    <s v="Grande"/>
  </r>
  <r>
    <n v="56"/>
    <n v="5.7"/>
    <n v="2.8"/>
    <n v="4.5"/>
    <n v="1.3"/>
    <x v="1"/>
    <n v="15.959999999999999"/>
    <n v="5.8500000000000005"/>
    <s v="Grande"/>
  </r>
  <r>
    <n v="57"/>
    <n v="6.3"/>
    <n v="3.3"/>
    <n v="4.7"/>
    <n v="1.6"/>
    <x v="1"/>
    <n v="20.79"/>
    <n v="7.5200000000000005"/>
    <s v="Grande"/>
  </r>
  <r>
    <n v="58"/>
    <n v="4.9000000000000004"/>
    <n v="2.4"/>
    <n v="3.3"/>
    <n v="1"/>
    <x v="1"/>
    <n v="11.76"/>
    <n v="3.3"/>
    <s v="Moyenne"/>
  </r>
  <r>
    <n v="59"/>
    <n v="6.6"/>
    <n v="2.9"/>
    <n v="4.5999999999999996"/>
    <n v="1.3"/>
    <x v="1"/>
    <n v="19.139999999999997"/>
    <n v="5.9799999999999995"/>
    <s v="Grande"/>
  </r>
  <r>
    <n v="60"/>
    <n v="5.2"/>
    <n v="2.7"/>
    <n v="3.9"/>
    <n v="1.4"/>
    <x v="1"/>
    <n v="14.040000000000001"/>
    <n v="5.46"/>
    <s v="Grande"/>
  </r>
  <r>
    <n v="61"/>
    <n v="5"/>
    <n v="2"/>
    <n v="3.5"/>
    <n v="1"/>
    <x v="1"/>
    <n v="10"/>
    <n v="3.5"/>
    <s v="Moyenne"/>
  </r>
  <r>
    <n v="62"/>
    <n v="5.9"/>
    <n v="3"/>
    <n v="4.2"/>
    <n v="1.5"/>
    <x v="1"/>
    <n v="17.700000000000003"/>
    <n v="6.3000000000000007"/>
    <s v="Grande"/>
  </r>
  <r>
    <n v="63"/>
    <n v="6"/>
    <n v="2.2000000000000002"/>
    <n v="4"/>
    <n v="1"/>
    <x v="1"/>
    <n v="13.200000000000001"/>
    <n v="4"/>
    <s v="Moyenne"/>
  </r>
  <r>
    <n v="64"/>
    <n v="6.1"/>
    <n v="2.9"/>
    <n v="4.7"/>
    <n v="1.4"/>
    <x v="1"/>
    <n v="17.689999999999998"/>
    <n v="6.58"/>
    <s v="Grande"/>
  </r>
  <r>
    <n v="65"/>
    <n v="5.6"/>
    <n v="2.9"/>
    <n v="3.6"/>
    <n v="1.3"/>
    <x v="1"/>
    <n v="16.239999999999998"/>
    <n v="4.6800000000000006"/>
    <s v="Moyenne"/>
  </r>
  <r>
    <n v="66"/>
    <n v="6.7"/>
    <n v="3.1"/>
    <n v="4.4000000000000004"/>
    <n v="1.4"/>
    <x v="1"/>
    <n v="20.77"/>
    <n v="6.16"/>
    <s v="Grande"/>
  </r>
  <r>
    <n v="67"/>
    <n v="5.6"/>
    <n v="3"/>
    <n v="4.5"/>
    <n v="1.5"/>
    <x v="1"/>
    <n v="16.799999999999997"/>
    <n v="6.75"/>
    <s v="Grande"/>
  </r>
  <r>
    <n v="68"/>
    <n v="5.8"/>
    <n v="2.7"/>
    <n v="4.0999999999999996"/>
    <n v="1"/>
    <x v="1"/>
    <n v="15.66"/>
    <n v="4.0999999999999996"/>
    <s v="Moyenne"/>
  </r>
  <r>
    <n v="69"/>
    <n v="6.2"/>
    <n v="2.2000000000000002"/>
    <n v="4.5"/>
    <n v="1.5"/>
    <x v="1"/>
    <n v="13.640000000000002"/>
    <n v="6.75"/>
    <s v="Grande"/>
  </r>
  <r>
    <n v="70"/>
    <n v="5.6"/>
    <n v="2.5"/>
    <n v="3.9"/>
    <n v="1.1000000000000001"/>
    <x v="1"/>
    <n v="14"/>
    <n v="4.29"/>
    <s v="Moyenne"/>
  </r>
  <r>
    <n v="71"/>
    <n v="5.9"/>
    <n v="3.2"/>
    <n v="4.8"/>
    <n v="1.8"/>
    <x v="1"/>
    <n v="18.880000000000003"/>
    <n v="8.64"/>
    <s v="Grande"/>
  </r>
  <r>
    <n v="72"/>
    <n v="6.1"/>
    <n v="2.8"/>
    <n v="4"/>
    <n v="1.3"/>
    <x v="1"/>
    <n v="17.079999999999998"/>
    <n v="5.2"/>
    <s v="Grande"/>
  </r>
  <r>
    <n v="73"/>
    <n v="6.3"/>
    <n v="2.5"/>
    <n v="4.9000000000000004"/>
    <n v="1.5"/>
    <x v="1"/>
    <n v="15.75"/>
    <n v="7.3500000000000005"/>
    <s v="Grande"/>
  </r>
  <r>
    <n v="74"/>
    <n v="6.1"/>
    <n v="2.8"/>
    <n v="4.7"/>
    <n v="1.2"/>
    <x v="1"/>
    <n v="17.079999999999998"/>
    <n v="5.64"/>
    <s v="Grande"/>
  </r>
  <r>
    <n v="75"/>
    <n v="6.4"/>
    <n v="2.9"/>
    <n v="4.3"/>
    <n v="1.3"/>
    <x v="1"/>
    <n v="18.559999999999999"/>
    <n v="5.59"/>
    <s v="Grande"/>
  </r>
  <r>
    <n v="76"/>
    <n v="6.6"/>
    <n v="3"/>
    <n v="4.4000000000000004"/>
    <n v="1.4"/>
    <x v="1"/>
    <n v="19.799999999999997"/>
    <n v="6.16"/>
    <s v="Grande"/>
  </r>
  <r>
    <n v="77"/>
    <n v="6.8"/>
    <n v="2.8"/>
    <n v="4.8"/>
    <n v="1.4"/>
    <x v="1"/>
    <n v="19.04"/>
    <n v="6.72"/>
    <s v="Grande"/>
  </r>
  <r>
    <n v="78"/>
    <n v="6.7"/>
    <n v="3"/>
    <n v="5"/>
    <n v="1.7"/>
    <x v="1"/>
    <n v="20.100000000000001"/>
    <n v="8.5"/>
    <s v="Grande"/>
  </r>
  <r>
    <n v="79"/>
    <n v="6"/>
    <n v="2.9"/>
    <n v="4.5"/>
    <n v="1.5"/>
    <x v="1"/>
    <n v="17.399999999999999"/>
    <n v="6.75"/>
    <s v="Grande"/>
  </r>
  <r>
    <n v="80"/>
    <n v="5.7"/>
    <n v="2.6"/>
    <n v="3.5"/>
    <n v="1"/>
    <x v="1"/>
    <n v="14.82"/>
    <n v="3.5"/>
    <s v="Moyenne"/>
  </r>
  <r>
    <n v="81"/>
    <n v="5.5"/>
    <n v="2.4"/>
    <n v="3.8"/>
    <n v="1.1000000000000001"/>
    <x v="1"/>
    <n v="13.2"/>
    <n v="4.18"/>
    <s v="Moyenne"/>
  </r>
  <r>
    <n v="82"/>
    <n v="5.5"/>
    <n v="2.4"/>
    <n v="3.7"/>
    <n v="1"/>
    <x v="1"/>
    <n v="13.2"/>
    <n v="3.7"/>
    <s v="Moyenne"/>
  </r>
  <r>
    <n v="83"/>
    <n v="5.8"/>
    <n v="2.7"/>
    <n v="3.9"/>
    <n v="1.2"/>
    <x v="1"/>
    <n v="15.66"/>
    <n v="4.68"/>
    <s v="Moyenne"/>
  </r>
  <r>
    <n v="84"/>
    <n v="6"/>
    <n v="2.7"/>
    <n v="5.0999999999999996"/>
    <n v="1.6"/>
    <x v="1"/>
    <n v="16.200000000000003"/>
    <n v="8.16"/>
    <s v="Grande"/>
  </r>
  <r>
    <n v="85"/>
    <n v="5.4"/>
    <n v="3"/>
    <n v="4.5"/>
    <n v="1.5"/>
    <x v="1"/>
    <n v="16.200000000000003"/>
    <n v="6.75"/>
    <s v="Grande"/>
  </r>
  <r>
    <n v="86"/>
    <n v="6"/>
    <n v="3.4"/>
    <n v="4.5"/>
    <n v="1.6"/>
    <x v="1"/>
    <n v="20.399999999999999"/>
    <n v="7.2"/>
    <s v="Grande"/>
  </r>
  <r>
    <n v="87"/>
    <n v="6.7"/>
    <n v="3.1"/>
    <n v="4.7"/>
    <n v="1.5"/>
    <x v="1"/>
    <n v="20.77"/>
    <n v="7.0500000000000007"/>
    <s v="Grande"/>
  </r>
  <r>
    <n v="88"/>
    <n v="6.3"/>
    <n v="2.2999999999999998"/>
    <n v="4.4000000000000004"/>
    <n v="1.3"/>
    <x v="1"/>
    <n v="14.489999999999998"/>
    <n v="5.7200000000000006"/>
    <s v="Grande"/>
  </r>
  <r>
    <n v="89"/>
    <n v="5.6"/>
    <n v="3"/>
    <n v="4.0999999999999996"/>
    <n v="1.3"/>
    <x v="1"/>
    <n v="16.799999999999997"/>
    <n v="5.33"/>
    <s v="Grande"/>
  </r>
  <r>
    <n v="90"/>
    <n v="5.5"/>
    <n v="2.5"/>
    <n v="4"/>
    <n v="1.3"/>
    <x v="1"/>
    <n v="13.75"/>
    <n v="5.2"/>
    <s v="Grande"/>
  </r>
  <r>
    <n v="91"/>
    <n v="5.5"/>
    <n v="2.6"/>
    <n v="4.4000000000000004"/>
    <n v="1.2"/>
    <x v="1"/>
    <n v="14.3"/>
    <n v="5.28"/>
    <s v="Grande"/>
  </r>
  <r>
    <n v="92"/>
    <n v="6.1"/>
    <n v="3"/>
    <n v="4.5999999999999996"/>
    <n v="1.4"/>
    <x v="1"/>
    <n v="18.299999999999997"/>
    <n v="6.4399999999999995"/>
    <s v="Grande"/>
  </r>
  <r>
    <n v="93"/>
    <n v="5.8"/>
    <n v="2.6"/>
    <n v="4"/>
    <n v="1.2"/>
    <x v="1"/>
    <n v="15.08"/>
    <n v="4.8"/>
    <s v="Moyenne"/>
  </r>
  <r>
    <n v="94"/>
    <n v="5"/>
    <n v="2.2999999999999998"/>
    <n v="3.3"/>
    <n v="1"/>
    <x v="1"/>
    <n v="11.5"/>
    <n v="3.3"/>
    <s v="Moyenne"/>
  </r>
  <r>
    <n v="95"/>
    <n v="5.6"/>
    <n v="2.7"/>
    <n v="4.2"/>
    <n v="1.3"/>
    <x v="1"/>
    <n v="15.12"/>
    <n v="5.4600000000000009"/>
    <s v="Grande"/>
  </r>
  <r>
    <n v="96"/>
    <n v="5.7"/>
    <n v="3"/>
    <n v="4.2"/>
    <n v="1.2"/>
    <x v="1"/>
    <n v="17.100000000000001"/>
    <n v="5.04"/>
    <s v="Grande"/>
  </r>
  <r>
    <n v="97"/>
    <n v="5.7"/>
    <n v="2.9"/>
    <n v="4.2"/>
    <n v="1.3"/>
    <x v="1"/>
    <n v="16.53"/>
    <n v="5.4600000000000009"/>
    <s v="Grande"/>
  </r>
  <r>
    <n v="98"/>
    <n v="6.2"/>
    <n v="2.9"/>
    <n v="4.3"/>
    <n v="1.3"/>
    <x v="1"/>
    <n v="17.98"/>
    <n v="5.59"/>
    <s v="Grande"/>
  </r>
  <r>
    <n v="99"/>
    <n v="5.0999999999999996"/>
    <n v="2.5"/>
    <n v="3"/>
    <n v="1.1000000000000001"/>
    <x v="1"/>
    <n v="12.75"/>
    <n v="3.3000000000000003"/>
    <s v="Moyenne"/>
  </r>
  <r>
    <n v="100"/>
    <n v="5.7"/>
    <n v="2.8"/>
    <n v="4.0999999999999996"/>
    <n v="1.3"/>
    <x v="1"/>
    <n v="15.959999999999999"/>
    <n v="5.33"/>
    <s v="Grande"/>
  </r>
  <r>
    <n v="101"/>
    <n v="6.3"/>
    <n v="3.3"/>
    <n v="6"/>
    <n v="2.5"/>
    <x v="2"/>
    <n v="20.79"/>
    <n v="15"/>
    <s v="Grande"/>
  </r>
  <r>
    <n v="102"/>
    <n v="5.8"/>
    <n v="2.7"/>
    <n v="5.0999999999999996"/>
    <n v="1.9"/>
    <x v="2"/>
    <n v="15.66"/>
    <n v="9.69"/>
    <s v="Grande"/>
  </r>
  <r>
    <n v="103"/>
    <n v="7.1"/>
    <n v="3"/>
    <n v="5.9"/>
    <n v="2.1"/>
    <x v="2"/>
    <n v="21.299999999999997"/>
    <n v="12.39"/>
    <s v="Grande"/>
  </r>
  <r>
    <n v="104"/>
    <n v="6.3"/>
    <n v="2.9"/>
    <n v="5.6"/>
    <n v="1.8"/>
    <x v="2"/>
    <n v="18.27"/>
    <n v="10.08"/>
    <s v="Grande"/>
  </r>
  <r>
    <n v="105"/>
    <n v="6.5"/>
    <n v="3"/>
    <n v="5.8"/>
    <n v="2.2000000000000002"/>
    <x v="2"/>
    <n v="19.5"/>
    <n v="12.76"/>
    <s v="Grande"/>
  </r>
  <r>
    <n v="106"/>
    <n v="7.6"/>
    <n v="3"/>
    <n v="6.6"/>
    <n v="2.1"/>
    <x v="2"/>
    <n v="22.799999999999997"/>
    <n v="13.86"/>
    <s v="Grande"/>
  </r>
  <r>
    <n v="107"/>
    <n v="4.9000000000000004"/>
    <n v="2.5"/>
    <n v="4.5"/>
    <n v="1.7"/>
    <x v="2"/>
    <n v="12.25"/>
    <n v="7.6499999999999995"/>
    <s v="Grande"/>
  </r>
  <r>
    <n v="108"/>
    <n v="7.3"/>
    <n v="2.9"/>
    <n v="6.3"/>
    <n v="1.8"/>
    <x v="2"/>
    <n v="21.169999999999998"/>
    <n v="11.34"/>
    <s v="Grande"/>
  </r>
  <r>
    <n v="109"/>
    <n v="6.7"/>
    <n v="2.5"/>
    <n v="5.8"/>
    <n v="1.8"/>
    <x v="2"/>
    <n v="16.75"/>
    <n v="10.44"/>
    <s v="Grande"/>
  </r>
  <r>
    <n v="110"/>
    <n v="7.2"/>
    <n v="3.6"/>
    <n v="6.1"/>
    <n v="2.5"/>
    <x v="2"/>
    <n v="25.92"/>
    <n v="15.25"/>
    <s v="Grande"/>
  </r>
  <r>
    <n v="111"/>
    <n v="6.5"/>
    <n v="3.2"/>
    <n v="5.0999999999999996"/>
    <n v="2"/>
    <x v="2"/>
    <n v="20.8"/>
    <n v="10.199999999999999"/>
    <s v="Grande"/>
  </r>
  <r>
    <n v="112"/>
    <n v="6.4"/>
    <n v="2.7"/>
    <n v="5.3"/>
    <n v="1.9"/>
    <x v="2"/>
    <n v="17.28"/>
    <n v="10.069999999999999"/>
    <s v="Grande"/>
  </r>
  <r>
    <n v="113"/>
    <n v="6.8"/>
    <n v="3"/>
    <n v="5.5"/>
    <n v="2.1"/>
    <x v="2"/>
    <n v="20.399999999999999"/>
    <n v="11.55"/>
    <s v="Grande"/>
  </r>
  <r>
    <n v="114"/>
    <n v="5.7"/>
    <n v="2.5"/>
    <n v="5"/>
    <n v="2"/>
    <x v="2"/>
    <n v="14.25"/>
    <n v="10"/>
    <s v="Grande"/>
  </r>
  <r>
    <n v="115"/>
    <n v="5.8"/>
    <n v="2.8"/>
    <n v="5.0999999999999996"/>
    <n v="2.4"/>
    <x v="2"/>
    <n v="16.239999999999998"/>
    <n v="12.239999999999998"/>
    <s v="Grande"/>
  </r>
  <r>
    <n v="116"/>
    <n v="6.4"/>
    <n v="3.2"/>
    <n v="5.3"/>
    <n v="2.2999999999999998"/>
    <x v="2"/>
    <n v="20.480000000000004"/>
    <n v="12.19"/>
    <s v="Grande"/>
  </r>
  <r>
    <n v="117"/>
    <n v="6.5"/>
    <n v="3"/>
    <n v="5.5"/>
    <n v="1.8"/>
    <x v="2"/>
    <n v="19.5"/>
    <n v="9.9"/>
    <s v="Grande"/>
  </r>
  <r>
    <n v="118"/>
    <n v="7.7"/>
    <n v="3.8"/>
    <n v="6.7"/>
    <n v="2.2000000000000002"/>
    <x v="2"/>
    <n v="29.259999999999998"/>
    <n v="14.740000000000002"/>
    <s v="Grande"/>
  </r>
  <r>
    <n v="119"/>
    <n v="7.7"/>
    <n v="2.6"/>
    <n v="6.9"/>
    <n v="2.2999999999999998"/>
    <x v="2"/>
    <n v="20.02"/>
    <n v="15.87"/>
    <s v="Grande"/>
  </r>
  <r>
    <n v="120"/>
    <n v="6"/>
    <n v="2.2000000000000002"/>
    <n v="5"/>
    <n v="1.5"/>
    <x v="2"/>
    <n v="13.200000000000001"/>
    <n v="7.5"/>
    <s v="Grande"/>
  </r>
  <r>
    <n v="121"/>
    <n v="6.9"/>
    <n v="3.2"/>
    <n v="5.7"/>
    <n v="2.2999999999999998"/>
    <x v="2"/>
    <n v="22.080000000000002"/>
    <n v="13.11"/>
    <s v="Grande"/>
  </r>
  <r>
    <n v="122"/>
    <n v="5.6"/>
    <n v="2.8"/>
    <n v="4.9000000000000004"/>
    <n v="2"/>
    <x v="2"/>
    <n v="15.679999999999998"/>
    <n v="9.8000000000000007"/>
    <s v="Grande"/>
  </r>
  <r>
    <n v="123"/>
    <n v="7.7"/>
    <n v="2.8"/>
    <n v="6.7"/>
    <n v="2"/>
    <x v="2"/>
    <n v="21.56"/>
    <n v="13.4"/>
    <s v="Grande"/>
  </r>
  <r>
    <n v="124"/>
    <n v="6.3"/>
    <n v="2.7"/>
    <n v="4.9000000000000004"/>
    <n v="1.8"/>
    <x v="2"/>
    <n v="17.010000000000002"/>
    <n v="8.82"/>
    <s v="Grande"/>
  </r>
  <r>
    <n v="125"/>
    <n v="6.7"/>
    <n v="3.3"/>
    <n v="5.7"/>
    <n v="2.1"/>
    <x v="2"/>
    <n v="22.11"/>
    <n v="11.97"/>
    <s v="Grande"/>
  </r>
  <r>
    <n v="126"/>
    <n v="7.2"/>
    <n v="3.2"/>
    <n v="6"/>
    <n v="1.8"/>
    <x v="2"/>
    <n v="23.040000000000003"/>
    <n v="10.8"/>
    <s v="Grande"/>
  </r>
  <r>
    <n v="127"/>
    <n v="6.2"/>
    <n v="2.8"/>
    <n v="4.8"/>
    <n v="1.8"/>
    <x v="2"/>
    <n v="17.36"/>
    <n v="8.64"/>
    <s v="Grande"/>
  </r>
  <r>
    <n v="128"/>
    <n v="6.1"/>
    <n v="3"/>
    <n v="4.9000000000000004"/>
    <n v="1.8"/>
    <x v="2"/>
    <n v="18.299999999999997"/>
    <n v="8.82"/>
    <s v="Grande"/>
  </r>
  <r>
    <n v="129"/>
    <n v="6.4"/>
    <n v="2.8"/>
    <n v="5.6"/>
    <n v="2.1"/>
    <x v="2"/>
    <n v="17.919999999999998"/>
    <n v="11.76"/>
    <s v="Grande"/>
  </r>
  <r>
    <n v="130"/>
    <n v="7.2"/>
    <n v="3"/>
    <n v="5.8"/>
    <n v="1.6"/>
    <x v="2"/>
    <n v="21.6"/>
    <n v="9.2799999999999994"/>
    <s v="Grande"/>
  </r>
  <r>
    <n v="131"/>
    <n v="7.4"/>
    <n v="2.8"/>
    <n v="6.1"/>
    <n v="1.9"/>
    <x v="2"/>
    <n v="20.72"/>
    <n v="11.589999999999998"/>
    <s v="Grande"/>
  </r>
  <r>
    <n v="132"/>
    <n v="7.9"/>
    <n v="3.8"/>
    <n v="6.4"/>
    <n v="2"/>
    <x v="2"/>
    <n v="30.02"/>
    <n v="12.8"/>
    <s v="Grande"/>
  </r>
  <r>
    <n v="133"/>
    <n v="6.4"/>
    <n v="2.8"/>
    <n v="5.6"/>
    <n v="2.2000000000000002"/>
    <x v="2"/>
    <n v="17.919999999999998"/>
    <n v="12.32"/>
    <s v="Grande"/>
  </r>
  <r>
    <n v="134"/>
    <n v="6.3"/>
    <n v="2.8"/>
    <n v="5.0999999999999996"/>
    <n v="1.5"/>
    <x v="2"/>
    <n v="17.639999999999997"/>
    <n v="7.6499999999999995"/>
    <s v="Grande"/>
  </r>
  <r>
    <n v="135"/>
    <n v="6.1"/>
    <n v="2.6"/>
    <n v="5.6"/>
    <n v="1.4"/>
    <x v="2"/>
    <n v="15.86"/>
    <n v="7.839999999999999"/>
    <s v="Grande"/>
  </r>
  <r>
    <n v="136"/>
    <n v="7.7"/>
    <n v="3"/>
    <n v="6.1"/>
    <n v="2.2999999999999998"/>
    <x v="2"/>
    <n v="23.1"/>
    <n v="14.029999999999998"/>
    <s v="Grande"/>
  </r>
  <r>
    <n v="137"/>
    <n v="6.3"/>
    <n v="3.4"/>
    <n v="5.6"/>
    <n v="2.4"/>
    <x v="2"/>
    <n v="21.419999999999998"/>
    <n v="13.44"/>
    <s v="Grande"/>
  </r>
  <r>
    <n v="138"/>
    <n v="6.4"/>
    <n v="3.1"/>
    <n v="5.5"/>
    <n v="1.8"/>
    <x v="2"/>
    <n v="19.840000000000003"/>
    <n v="9.9"/>
    <s v="Grande"/>
  </r>
  <r>
    <n v="139"/>
    <n v="6"/>
    <n v="3"/>
    <n v="4.8"/>
    <n v="1.8"/>
    <x v="2"/>
    <n v="18"/>
    <n v="8.64"/>
    <s v="Grande"/>
  </r>
  <r>
    <n v="140"/>
    <n v="6.9"/>
    <n v="3.1"/>
    <n v="5.4"/>
    <n v="2.1"/>
    <x v="2"/>
    <n v="21.39"/>
    <n v="11.340000000000002"/>
    <s v="Grande"/>
  </r>
  <r>
    <n v="141"/>
    <n v="6.7"/>
    <n v="3.1"/>
    <n v="5.6"/>
    <n v="2.4"/>
    <x v="2"/>
    <n v="20.77"/>
    <n v="13.44"/>
    <s v="Grande"/>
  </r>
  <r>
    <n v="142"/>
    <n v="6.9"/>
    <n v="3.1"/>
    <n v="5.0999999999999996"/>
    <n v="2.2999999999999998"/>
    <x v="2"/>
    <n v="21.39"/>
    <n v="11.729999999999999"/>
    <s v="Grande"/>
  </r>
  <r>
    <n v="143"/>
    <n v="5.8"/>
    <n v="2.7"/>
    <n v="5.0999999999999996"/>
    <n v="1.9"/>
    <x v="2"/>
    <n v="15.66"/>
    <n v="9.69"/>
    <s v="Grande"/>
  </r>
  <r>
    <n v="144"/>
    <n v="6.8"/>
    <n v="3.2"/>
    <n v="5.9"/>
    <n v="2.2999999999999998"/>
    <x v="2"/>
    <n v="21.76"/>
    <n v="13.57"/>
    <s v="Grande"/>
  </r>
  <r>
    <n v="145"/>
    <n v="6.7"/>
    <n v="3.3"/>
    <n v="5.7"/>
    <n v="2.5"/>
    <x v="2"/>
    <n v="22.11"/>
    <n v="14.25"/>
    <s v="Grande"/>
  </r>
  <r>
    <n v="146"/>
    <n v="6.7"/>
    <n v="3"/>
    <n v="5.2"/>
    <n v="2.2999999999999998"/>
    <x v="2"/>
    <n v="20.100000000000001"/>
    <n v="11.959999999999999"/>
    <s v="Grande"/>
  </r>
  <r>
    <n v="147"/>
    <n v="6.3"/>
    <n v="2.5"/>
    <n v="5"/>
    <n v="1.9"/>
    <x v="2"/>
    <n v="15.75"/>
    <n v="9.5"/>
    <s v="Grande"/>
  </r>
  <r>
    <n v="148"/>
    <n v="6.5"/>
    <n v="3"/>
    <n v="5.2"/>
    <n v="2"/>
    <x v="2"/>
    <n v="19.5"/>
    <n v="10.4"/>
    <s v="Grande"/>
  </r>
  <r>
    <n v="149"/>
    <n v="6.2"/>
    <n v="3.4"/>
    <n v="5.4"/>
    <n v="2.2999999999999998"/>
    <x v="2"/>
    <n v="21.08"/>
    <n v="12.42"/>
    <s v="Grande"/>
  </r>
  <r>
    <n v="150"/>
    <n v="5.9"/>
    <n v="3"/>
    <n v="5.0999999999999996"/>
    <n v="1.8"/>
    <x v="2"/>
    <n v="17.700000000000003"/>
    <n v="9.18"/>
    <s v="Grande"/>
  </r>
</pivotCacheRecords>
</file>

<file path=xl/pivotCache/pivotCacheRecords3.xml><?xml version="1.0" encoding="utf-8"?>
<pivotCacheRecords xmlns="http://schemas.openxmlformats.org/spreadsheetml/2006/main" xmlns:r="http://schemas.openxmlformats.org/officeDocument/2006/relationships" count="150">
  <r>
    <n v="1"/>
    <n v="5.0999999999999996"/>
    <n v="3.5"/>
    <n v="1.4"/>
    <n v="0.2"/>
    <s v="Iris-setosa"/>
    <n v="17.849999999999998"/>
    <n v="0.27999999999999997"/>
    <x v="0"/>
  </r>
  <r>
    <n v="2"/>
    <n v="4.9000000000000004"/>
    <n v="3"/>
    <n v="1.4"/>
    <n v="0.2"/>
    <s v="Iris-setosa"/>
    <n v="14.700000000000001"/>
    <n v="0.27999999999999997"/>
    <x v="0"/>
  </r>
  <r>
    <n v="3"/>
    <n v="4.7"/>
    <n v="3.2"/>
    <n v="1.3"/>
    <n v="0.2"/>
    <s v="Iris-setosa"/>
    <n v="15.040000000000001"/>
    <n v="0.26"/>
    <x v="0"/>
  </r>
  <r>
    <n v="4"/>
    <n v="4.5999999999999996"/>
    <n v="3.1"/>
    <n v="1.5"/>
    <n v="0.2"/>
    <s v="Iris-setosa"/>
    <n v="14.26"/>
    <n v="0.30000000000000004"/>
    <x v="0"/>
  </r>
  <r>
    <n v="5"/>
    <n v="5"/>
    <n v="3.6"/>
    <n v="1.4"/>
    <n v="0.2"/>
    <s v="Iris-setosa"/>
    <n v="18"/>
    <n v="0.27999999999999997"/>
    <x v="0"/>
  </r>
  <r>
    <n v="6"/>
    <n v="5.4"/>
    <n v="3.9"/>
    <n v="1.7"/>
    <n v="0.4"/>
    <s v="Iris-setosa"/>
    <n v="21.060000000000002"/>
    <n v="0.68"/>
    <x v="0"/>
  </r>
  <r>
    <n v="7"/>
    <n v="4.5999999999999996"/>
    <n v="3.4"/>
    <n v="1.4"/>
    <n v="0.3"/>
    <s v="Iris-setosa"/>
    <n v="15.639999999999999"/>
    <n v="0.42"/>
    <x v="0"/>
  </r>
  <r>
    <n v="8"/>
    <n v="5"/>
    <n v="3.4"/>
    <n v="1.5"/>
    <n v="0.2"/>
    <s v="Iris-setosa"/>
    <n v="17"/>
    <n v="0.30000000000000004"/>
    <x v="0"/>
  </r>
  <r>
    <n v="9"/>
    <n v="4.4000000000000004"/>
    <n v="2.9"/>
    <n v="1.4"/>
    <n v="0.2"/>
    <s v="Iris-setosa"/>
    <n v="12.76"/>
    <n v="0.27999999999999997"/>
    <x v="0"/>
  </r>
  <r>
    <n v="10"/>
    <n v="4.9000000000000004"/>
    <n v="3.1"/>
    <n v="1.5"/>
    <n v="0.1"/>
    <s v="Iris-setosa"/>
    <n v="15.190000000000001"/>
    <n v="0.15000000000000002"/>
    <x v="0"/>
  </r>
  <r>
    <n v="11"/>
    <n v="5.4"/>
    <n v="3.7"/>
    <n v="1.5"/>
    <n v="0.2"/>
    <s v="Iris-setosa"/>
    <n v="19.980000000000004"/>
    <n v="0.30000000000000004"/>
    <x v="0"/>
  </r>
  <r>
    <n v="12"/>
    <n v="4.8"/>
    <n v="3.4"/>
    <n v="1.6"/>
    <n v="0.2"/>
    <s v="Iris-setosa"/>
    <n v="16.32"/>
    <n v="0.32000000000000006"/>
    <x v="0"/>
  </r>
  <r>
    <n v="13"/>
    <n v="4.8"/>
    <n v="3"/>
    <n v="1.4"/>
    <n v="0.1"/>
    <s v="Iris-setosa"/>
    <n v="14.399999999999999"/>
    <n v="0.13999999999999999"/>
    <x v="0"/>
  </r>
  <r>
    <n v="14"/>
    <n v="4.3"/>
    <n v="3"/>
    <n v="1.1000000000000001"/>
    <n v="0.1"/>
    <s v="Iris-setosa"/>
    <n v="12.899999999999999"/>
    <n v="0.11000000000000001"/>
    <x v="0"/>
  </r>
  <r>
    <n v="15"/>
    <n v="5.8"/>
    <n v="4"/>
    <n v="1.2"/>
    <n v="0.2"/>
    <s v="Iris-setosa"/>
    <n v="23.2"/>
    <n v="0.24"/>
    <x v="0"/>
  </r>
  <r>
    <n v="16"/>
    <n v="5.7"/>
    <n v="4.4000000000000004"/>
    <n v="1.5"/>
    <n v="0.4"/>
    <s v="Iris-setosa"/>
    <n v="25.080000000000002"/>
    <n v="0.60000000000000009"/>
    <x v="0"/>
  </r>
  <r>
    <n v="17"/>
    <n v="5.4"/>
    <n v="3.9"/>
    <n v="1.3"/>
    <n v="0.4"/>
    <s v="Iris-setosa"/>
    <n v="21.060000000000002"/>
    <n v="0.52"/>
    <x v="0"/>
  </r>
  <r>
    <n v="18"/>
    <n v="5.0999999999999996"/>
    <n v="3.5"/>
    <n v="1.4"/>
    <n v="0.3"/>
    <s v="Iris-setosa"/>
    <n v="17.849999999999998"/>
    <n v="0.42"/>
    <x v="0"/>
  </r>
  <r>
    <n v="19"/>
    <n v="5.7"/>
    <n v="3.8"/>
    <n v="1.7"/>
    <n v="0.3"/>
    <s v="Iris-setosa"/>
    <n v="21.66"/>
    <n v="0.51"/>
    <x v="0"/>
  </r>
  <r>
    <n v="20"/>
    <n v="5.0999999999999996"/>
    <n v="3.8"/>
    <n v="1.5"/>
    <n v="0.3"/>
    <s v="Iris-setosa"/>
    <n v="19.38"/>
    <n v="0.44999999999999996"/>
    <x v="0"/>
  </r>
  <r>
    <n v="21"/>
    <n v="5.4"/>
    <n v="3.4"/>
    <n v="1.7"/>
    <n v="0.2"/>
    <s v="Iris-setosa"/>
    <n v="18.36"/>
    <n v="0.34"/>
    <x v="0"/>
  </r>
  <r>
    <n v="22"/>
    <n v="5.0999999999999996"/>
    <n v="3.7"/>
    <n v="1.5"/>
    <n v="0.4"/>
    <s v="Iris-setosa"/>
    <n v="18.87"/>
    <n v="0.60000000000000009"/>
    <x v="0"/>
  </r>
  <r>
    <n v="23"/>
    <n v="4.5999999999999996"/>
    <n v="3.6"/>
    <n v="1"/>
    <n v="0.2"/>
    <s v="Iris-setosa"/>
    <n v="16.559999999999999"/>
    <n v="0.2"/>
    <x v="0"/>
  </r>
  <r>
    <n v="24"/>
    <n v="5.0999999999999996"/>
    <n v="3.3"/>
    <n v="1.7"/>
    <n v="0.5"/>
    <s v="Iris-setosa"/>
    <n v="16.829999999999998"/>
    <n v="0.85"/>
    <x v="0"/>
  </r>
  <r>
    <n v="25"/>
    <n v="4.8"/>
    <n v="3.4"/>
    <n v="1.9"/>
    <n v="0.2"/>
    <s v="Iris-setosa"/>
    <n v="16.32"/>
    <n v="0.38"/>
    <x v="0"/>
  </r>
  <r>
    <n v="26"/>
    <n v="5"/>
    <n v="3"/>
    <n v="1.6"/>
    <n v="0.2"/>
    <s v="Iris-setosa"/>
    <n v="15"/>
    <n v="0.32000000000000006"/>
    <x v="0"/>
  </r>
  <r>
    <n v="27"/>
    <n v="5"/>
    <n v="3.4"/>
    <n v="1.6"/>
    <n v="0.4"/>
    <s v="Iris-setosa"/>
    <n v="17"/>
    <n v="0.64000000000000012"/>
    <x v="0"/>
  </r>
  <r>
    <n v="28"/>
    <n v="5.2"/>
    <n v="3.5"/>
    <n v="1.5"/>
    <n v="0.2"/>
    <s v="Iris-setosa"/>
    <n v="18.2"/>
    <n v="0.30000000000000004"/>
    <x v="0"/>
  </r>
  <r>
    <n v="29"/>
    <n v="5.2"/>
    <n v="3.4"/>
    <n v="1.4"/>
    <n v="0.2"/>
    <s v="Iris-setosa"/>
    <n v="17.68"/>
    <n v="0.27999999999999997"/>
    <x v="0"/>
  </r>
  <r>
    <n v="30"/>
    <n v="4.7"/>
    <n v="3.2"/>
    <n v="1.6"/>
    <n v="0.2"/>
    <s v="Iris-setosa"/>
    <n v="15.040000000000001"/>
    <n v="0.32000000000000006"/>
    <x v="0"/>
  </r>
  <r>
    <n v="31"/>
    <n v="4.8"/>
    <n v="3.1"/>
    <n v="1.6"/>
    <n v="0.2"/>
    <s v="Iris-setosa"/>
    <n v="14.879999999999999"/>
    <n v="0.32000000000000006"/>
    <x v="0"/>
  </r>
  <r>
    <n v="32"/>
    <n v="5.4"/>
    <n v="3.4"/>
    <n v="1.5"/>
    <n v="0.4"/>
    <s v="Iris-setosa"/>
    <n v="18.36"/>
    <n v="0.60000000000000009"/>
    <x v="0"/>
  </r>
  <r>
    <n v="33"/>
    <n v="5.2"/>
    <n v="4.0999999999999996"/>
    <n v="1.5"/>
    <n v="0.1"/>
    <s v="Iris-setosa"/>
    <n v="21.32"/>
    <n v="0.15000000000000002"/>
    <x v="0"/>
  </r>
  <r>
    <n v="34"/>
    <n v="5.5"/>
    <n v="4.2"/>
    <n v="1.4"/>
    <n v="0.2"/>
    <s v="Iris-setosa"/>
    <n v="23.1"/>
    <n v="0.27999999999999997"/>
    <x v="0"/>
  </r>
  <r>
    <n v="35"/>
    <n v="4.9000000000000004"/>
    <n v="3.1"/>
    <n v="1.5"/>
    <n v="0.1"/>
    <s v="Iris-setosa"/>
    <n v="15.190000000000001"/>
    <n v="0.15000000000000002"/>
    <x v="0"/>
  </r>
  <r>
    <n v="36"/>
    <n v="5"/>
    <n v="3.2"/>
    <n v="1.2"/>
    <n v="0.2"/>
    <s v="Iris-setosa"/>
    <n v="16"/>
    <n v="0.24"/>
    <x v="0"/>
  </r>
  <r>
    <n v="37"/>
    <n v="5.5"/>
    <n v="3.5"/>
    <n v="1.3"/>
    <n v="0.2"/>
    <s v="Iris-setosa"/>
    <n v="19.25"/>
    <n v="0.26"/>
    <x v="0"/>
  </r>
  <r>
    <n v="38"/>
    <n v="4.9000000000000004"/>
    <n v="3.1"/>
    <n v="1.5"/>
    <n v="0.1"/>
    <s v="Iris-setosa"/>
    <n v="15.190000000000001"/>
    <n v="0.15000000000000002"/>
    <x v="0"/>
  </r>
  <r>
    <n v="39"/>
    <n v="4.4000000000000004"/>
    <n v="3"/>
    <n v="1.3"/>
    <n v="0.2"/>
    <s v="Iris-setosa"/>
    <n v="13.200000000000001"/>
    <n v="0.26"/>
    <x v="0"/>
  </r>
  <r>
    <n v="40"/>
    <n v="5.0999999999999996"/>
    <n v="3.4"/>
    <n v="1.5"/>
    <n v="0.2"/>
    <s v="Iris-setosa"/>
    <n v="17.34"/>
    <n v="0.30000000000000004"/>
    <x v="0"/>
  </r>
  <r>
    <n v="41"/>
    <n v="5"/>
    <n v="3.5"/>
    <n v="1.3"/>
    <n v="0.3"/>
    <s v="Iris-setosa"/>
    <n v="17.5"/>
    <n v="0.39"/>
    <x v="0"/>
  </r>
  <r>
    <n v="42"/>
    <n v="4.5"/>
    <n v="2.2999999999999998"/>
    <n v="1.3"/>
    <n v="0.3"/>
    <s v="Iris-setosa"/>
    <n v="10.35"/>
    <n v="0.39"/>
    <x v="0"/>
  </r>
  <r>
    <n v="43"/>
    <n v="4.4000000000000004"/>
    <n v="3.2"/>
    <n v="1.3"/>
    <n v="0.2"/>
    <s v="Iris-setosa"/>
    <n v="14.080000000000002"/>
    <n v="0.26"/>
    <x v="0"/>
  </r>
  <r>
    <n v="44"/>
    <n v="5"/>
    <n v="3.5"/>
    <n v="1.6"/>
    <n v="0.6"/>
    <s v="Iris-setosa"/>
    <n v="17.5"/>
    <n v="0.96"/>
    <x v="0"/>
  </r>
  <r>
    <n v="45"/>
    <n v="5.0999999999999996"/>
    <n v="3.8"/>
    <n v="1.9"/>
    <n v="0.4"/>
    <s v="Iris-setosa"/>
    <n v="19.38"/>
    <n v="0.76"/>
    <x v="0"/>
  </r>
  <r>
    <n v="46"/>
    <n v="4.8"/>
    <n v="3"/>
    <n v="1.4"/>
    <n v="0.3"/>
    <s v="Iris-setosa"/>
    <n v="14.399999999999999"/>
    <n v="0.42"/>
    <x v="0"/>
  </r>
  <r>
    <n v="47"/>
    <n v="5.0999999999999996"/>
    <n v="3.8"/>
    <n v="1.6"/>
    <n v="0.2"/>
    <s v="Iris-setosa"/>
    <n v="19.38"/>
    <n v="0.32000000000000006"/>
    <x v="0"/>
  </r>
  <r>
    <n v="48"/>
    <n v="4.5999999999999996"/>
    <n v="3.2"/>
    <n v="1.4"/>
    <n v="0.2"/>
    <s v="Iris-setosa"/>
    <n v="14.719999999999999"/>
    <n v="0.27999999999999997"/>
    <x v="0"/>
  </r>
  <r>
    <n v="49"/>
    <n v="5.3"/>
    <n v="3.7"/>
    <n v="1.5"/>
    <n v="0.2"/>
    <s v="Iris-setosa"/>
    <n v="19.61"/>
    <n v="0.30000000000000004"/>
    <x v="0"/>
  </r>
  <r>
    <n v="50"/>
    <n v="5"/>
    <n v="3.3"/>
    <n v="1.4"/>
    <n v="0.2"/>
    <s v="Iris-setosa"/>
    <n v="16.5"/>
    <n v="0.27999999999999997"/>
    <x v="0"/>
  </r>
  <r>
    <n v="51"/>
    <n v="7"/>
    <n v="3.2"/>
    <n v="4.7"/>
    <n v="1.4"/>
    <s v="Iris-versicolor"/>
    <n v="22.400000000000002"/>
    <n v="6.58"/>
    <x v="1"/>
  </r>
  <r>
    <n v="52"/>
    <n v="6.4"/>
    <n v="3.2"/>
    <n v="4.5"/>
    <n v="1.5"/>
    <s v="Iris-versicolor"/>
    <n v="20.480000000000004"/>
    <n v="6.75"/>
    <x v="1"/>
  </r>
  <r>
    <n v="53"/>
    <n v="6.9"/>
    <n v="3.1"/>
    <n v="4.9000000000000004"/>
    <n v="1.5"/>
    <s v="Iris-versicolor"/>
    <n v="21.39"/>
    <n v="7.3500000000000005"/>
    <x v="1"/>
  </r>
  <r>
    <n v="54"/>
    <n v="5.5"/>
    <n v="2.2999999999999998"/>
    <n v="4"/>
    <n v="1.3"/>
    <s v="Iris-versicolor"/>
    <n v="12.649999999999999"/>
    <n v="5.2"/>
    <x v="1"/>
  </r>
  <r>
    <n v="55"/>
    <n v="6.5"/>
    <n v="2.8"/>
    <n v="4.5999999999999996"/>
    <n v="1.5"/>
    <s v="Iris-versicolor"/>
    <n v="18.2"/>
    <n v="6.8999999999999995"/>
    <x v="1"/>
  </r>
  <r>
    <n v="56"/>
    <n v="5.7"/>
    <n v="2.8"/>
    <n v="4.5"/>
    <n v="1.3"/>
    <s v="Iris-versicolor"/>
    <n v="15.959999999999999"/>
    <n v="5.8500000000000005"/>
    <x v="1"/>
  </r>
  <r>
    <n v="57"/>
    <n v="6.3"/>
    <n v="3.3"/>
    <n v="4.7"/>
    <n v="1.6"/>
    <s v="Iris-versicolor"/>
    <n v="20.79"/>
    <n v="7.5200000000000005"/>
    <x v="1"/>
  </r>
  <r>
    <n v="58"/>
    <n v="4.9000000000000004"/>
    <n v="2.4"/>
    <n v="3.3"/>
    <n v="1"/>
    <s v="Iris-versicolor"/>
    <n v="11.76"/>
    <n v="3.3"/>
    <x v="2"/>
  </r>
  <r>
    <n v="59"/>
    <n v="6.6"/>
    <n v="2.9"/>
    <n v="4.5999999999999996"/>
    <n v="1.3"/>
    <s v="Iris-versicolor"/>
    <n v="19.139999999999997"/>
    <n v="5.9799999999999995"/>
    <x v="1"/>
  </r>
  <r>
    <n v="60"/>
    <n v="5.2"/>
    <n v="2.7"/>
    <n v="3.9"/>
    <n v="1.4"/>
    <s v="Iris-versicolor"/>
    <n v="14.040000000000001"/>
    <n v="5.46"/>
    <x v="1"/>
  </r>
  <r>
    <n v="61"/>
    <n v="5"/>
    <n v="2"/>
    <n v="3.5"/>
    <n v="1"/>
    <s v="Iris-versicolor"/>
    <n v="10"/>
    <n v="3.5"/>
    <x v="2"/>
  </r>
  <r>
    <n v="62"/>
    <n v="5.9"/>
    <n v="3"/>
    <n v="4.2"/>
    <n v="1.5"/>
    <s v="Iris-versicolor"/>
    <n v="17.700000000000003"/>
    <n v="6.3000000000000007"/>
    <x v="1"/>
  </r>
  <r>
    <n v="63"/>
    <n v="6"/>
    <n v="2.2000000000000002"/>
    <n v="4"/>
    <n v="1"/>
    <s v="Iris-versicolor"/>
    <n v="13.200000000000001"/>
    <n v="4"/>
    <x v="2"/>
  </r>
  <r>
    <n v="64"/>
    <n v="6.1"/>
    <n v="2.9"/>
    <n v="4.7"/>
    <n v="1.4"/>
    <s v="Iris-versicolor"/>
    <n v="17.689999999999998"/>
    <n v="6.58"/>
    <x v="1"/>
  </r>
  <r>
    <n v="65"/>
    <n v="5.6"/>
    <n v="2.9"/>
    <n v="3.6"/>
    <n v="1.3"/>
    <s v="Iris-versicolor"/>
    <n v="16.239999999999998"/>
    <n v="4.6800000000000006"/>
    <x v="2"/>
  </r>
  <r>
    <n v="66"/>
    <n v="6.7"/>
    <n v="3.1"/>
    <n v="4.4000000000000004"/>
    <n v="1.4"/>
    <s v="Iris-versicolor"/>
    <n v="20.77"/>
    <n v="6.16"/>
    <x v="1"/>
  </r>
  <r>
    <n v="67"/>
    <n v="5.6"/>
    <n v="3"/>
    <n v="4.5"/>
    <n v="1.5"/>
    <s v="Iris-versicolor"/>
    <n v="16.799999999999997"/>
    <n v="6.75"/>
    <x v="1"/>
  </r>
  <r>
    <n v="68"/>
    <n v="5.8"/>
    <n v="2.7"/>
    <n v="4.0999999999999996"/>
    <n v="1"/>
    <s v="Iris-versicolor"/>
    <n v="15.66"/>
    <n v="4.0999999999999996"/>
    <x v="2"/>
  </r>
  <r>
    <n v="69"/>
    <n v="6.2"/>
    <n v="2.2000000000000002"/>
    <n v="4.5"/>
    <n v="1.5"/>
    <s v="Iris-versicolor"/>
    <n v="13.640000000000002"/>
    <n v="6.75"/>
    <x v="1"/>
  </r>
  <r>
    <n v="70"/>
    <n v="5.6"/>
    <n v="2.5"/>
    <n v="3.9"/>
    <n v="1.1000000000000001"/>
    <s v="Iris-versicolor"/>
    <n v="14"/>
    <n v="4.29"/>
    <x v="2"/>
  </r>
  <r>
    <n v="71"/>
    <n v="5.9"/>
    <n v="3.2"/>
    <n v="4.8"/>
    <n v="1.8"/>
    <s v="Iris-versicolor"/>
    <n v="18.880000000000003"/>
    <n v="8.64"/>
    <x v="1"/>
  </r>
  <r>
    <n v="72"/>
    <n v="6.1"/>
    <n v="2.8"/>
    <n v="4"/>
    <n v="1.3"/>
    <s v="Iris-versicolor"/>
    <n v="17.079999999999998"/>
    <n v="5.2"/>
    <x v="1"/>
  </r>
  <r>
    <n v="73"/>
    <n v="6.3"/>
    <n v="2.5"/>
    <n v="4.9000000000000004"/>
    <n v="1.5"/>
    <s v="Iris-versicolor"/>
    <n v="15.75"/>
    <n v="7.3500000000000005"/>
    <x v="1"/>
  </r>
  <r>
    <n v="74"/>
    <n v="6.1"/>
    <n v="2.8"/>
    <n v="4.7"/>
    <n v="1.2"/>
    <s v="Iris-versicolor"/>
    <n v="17.079999999999998"/>
    <n v="5.64"/>
    <x v="1"/>
  </r>
  <r>
    <n v="75"/>
    <n v="6.4"/>
    <n v="2.9"/>
    <n v="4.3"/>
    <n v="1.3"/>
    <s v="Iris-versicolor"/>
    <n v="18.559999999999999"/>
    <n v="5.59"/>
    <x v="1"/>
  </r>
  <r>
    <n v="76"/>
    <n v="6.6"/>
    <n v="3"/>
    <n v="4.4000000000000004"/>
    <n v="1.4"/>
    <s v="Iris-versicolor"/>
    <n v="19.799999999999997"/>
    <n v="6.16"/>
    <x v="1"/>
  </r>
  <r>
    <n v="77"/>
    <n v="6.8"/>
    <n v="2.8"/>
    <n v="4.8"/>
    <n v="1.4"/>
    <s v="Iris-versicolor"/>
    <n v="19.04"/>
    <n v="6.72"/>
    <x v="1"/>
  </r>
  <r>
    <n v="78"/>
    <n v="6.7"/>
    <n v="3"/>
    <n v="5"/>
    <n v="1.7"/>
    <s v="Iris-versicolor"/>
    <n v="20.100000000000001"/>
    <n v="8.5"/>
    <x v="1"/>
  </r>
  <r>
    <n v="79"/>
    <n v="6"/>
    <n v="2.9"/>
    <n v="4.5"/>
    <n v="1.5"/>
    <s v="Iris-versicolor"/>
    <n v="17.399999999999999"/>
    <n v="6.75"/>
    <x v="1"/>
  </r>
  <r>
    <n v="80"/>
    <n v="5.7"/>
    <n v="2.6"/>
    <n v="3.5"/>
    <n v="1"/>
    <s v="Iris-versicolor"/>
    <n v="14.82"/>
    <n v="3.5"/>
    <x v="2"/>
  </r>
  <r>
    <n v="81"/>
    <n v="5.5"/>
    <n v="2.4"/>
    <n v="3.8"/>
    <n v="1.1000000000000001"/>
    <s v="Iris-versicolor"/>
    <n v="13.2"/>
    <n v="4.18"/>
    <x v="2"/>
  </r>
  <r>
    <n v="82"/>
    <n v="5.5"/>
    <n v="2.4"/>
    <n v="3.7"/>
    <n v="1"/>
    <s v="Iris-versicolor"/>
    <n v="13.2"/>
    <n v="3.7"/>
    <x v="2"/>
  </r>
  <r>
    <n v="83"/>
    <n v="5.8"/>
    <n v="2.7"/>
    <n v="3.9"/>
    <n v="1.2"/>
    <s v="Iris-versicolor"/>
    <n v="15.66"/>
    <n v="4.68"/>
    <x v="2"/>
  </r>
  <r>
    <n v="84"/>
    <n v="6"/>
    <n v="2.7"/>
    <n v="5.0999999999999996"/>
    <n v="1.6"/>
    <s v="Iris-versicolor"/>
    <n v="16.200000000000003"/>
    <n v="8.16"/>
    <x v="1"/>
  </r>
  <r>
    <n v="85"/>
    <n v="5.4"/>
    <n v="3"/>
    <n v="4.5"/>
    <n v="1.5"/>
    <s v="Iris-versicolor"/>
    <n v="16.200000000000003"/>
    <n v="6.75"/>
    <x v="1"/>
  </r>
  <r>
    <n v="86"/>
    <n v="6"/>
    <n v="3.4"/>
    <n v="4.5"/>
    <n v="1.6"/>
    <s v="Iris-versicolor"/>
    <n v="20.399999999999999"/>
    <n v="7.2"/>
    <x v="1"/>
  </r>
  <r>
    <n v="87"/>
    <n v="6.7"/>
    <n v="3.1"/>
    <n v="4.7"/>
    <n v="1.5"/>
    <s v="Iris-versicolor"/>
    <n v="20.77"/>
    <n v="7.0500000000000007"/>
    <x v="1"/>
  </r>
  <r>
    <n v="88"/>
    <n v="6.3"/>
    <n v="2.2999999999999998"/>
    <n v="4.4000000000000004"/>
    <n v="1.3"/>
    <s v="Iris-versicolor"/>
    <n v="14.489999999999998"/>
    <n v="5.7200000000000006"/>
    <x v="1"/>
  </r>
  <r>
    <n v="89"/>
    <n v="5.6"/>
    <n v="3"/>
    <n v="4.0999999999999996"/>
    <n v="1.3"/>
    <s v="Iris-versicolor"/>
    <n v="16.799999999999997"/>
    <n v="5.33"/>
    <x v="1"/>
  </r>
  <r>
    <n v="90"/>
    <n v="5.5"/>
    <n v="2.5"/>
    <n v="4"/>
    <n v="1.3"/>
    <s v="Iris-versicolor"/>
    <n v="13.75"/>
    <n v="5.2"/>
    <x v="1"/>
  </r>
  <r>
    <n v="91"/>
    <n v="5.5"/>
    <n v="2.6"/>
    <n v="4.4000000000000004"/>
    <n v="1.2"/>
    <s v="Iris-versicolor"/>
    <n v="14.3"/>
    <n v="5.28"/>
    <x v="1"/>
  </r>
  <r>
    <n v="92"/>
    <n v="6.1"/>
    <n v="3"/>
    <n v="4.5999999999999996"/>
    <n v="1.4"/>
    <s v="Iris-versicolor"/>
    <n v="18.299999999999997"/>
    <n v="6.4399999999999995"/>
    <x v="1"/>
  </r>
  <r>
    <n v="93"/>
    <n v="5.8"/>
    <n v="2.6"/>
    <n v="4"/>
    <n v="1.2"/>
    <s v="Iris-versicolor"/>
    <n v="15.08"/>
    <n v="4.8"/>
    <x v="2"/>
  </r>
  <r>
    <n v="94"/>
    <n v="5"/>
    <n v="2.2999999999999998"/>
    <n v="3.3"/>
    <n v="1"/>
    <s v="Iris-versicolor"/>
    <n v="11.5"/>
    <n v="3.3"/>
    <x v="2"/>
  </r>
  <r>
    <n v="95"/>
    <n v="5.6"/>
    <n v="2.7"/>
    <n v="4.2"/>
    <n v="1.3"/>
    <s v="Iris-versicolor"/>
    <n v="15.12"/>
    <n v="5.4600000000000009"/>
    <x v="1"/>
  </r>
  <r>
    <n v="96"/>
    <n v="5.7"/>
    <n v="3"/>
    <n v="4.2"/>
    <n v="1.2"/>
    <s v="Iris-versicolor"/>
    <n v="17.100000000000001"/>
    <n v="5.04"/>
    <x v="1"/>
  </r>
  <r>
    <n v="97"/>
    <n v="5.7"/>
    <n v="2.9"/>
    <n v="4.2"/>
    <n v="1.3"/>
    <s v="Iris-versicolor"/>
    <n v="16.53"/>
    <n v="5.4600000000000009"/>
    <x v="1"/>
  </r>
  <r>
    <n v="98"/>
    <n v="6.2"/>
    <n v="2.9"/>
    <n v="4.3"/>
    <n v="1.3"/>
    <s v="Iris-versicolor"/>
    <n v="17.98"/>
    <n v="5.59"/>
    <x v="1"/>
  </r>
  <r>
    <n v="99"/>
    <n v="5.0999999999999996"/>
    <n v="2.5"/>
    <n v="3"/>
    <n v="1.1000000000000001"/>
    <s v="Iris-versicolor"/>
    <n v="12.75"/>
    <n v="3.3000000000000003"/>
    <x v="2"/>
  </r>
  <r>
    <n v="100"/>
    <n v="5.7"/>
    <n v="2.8"/>
    <n v="4.0999999999999996"/>
    <n v="1.3"/>
    <s v="Iris-versicolor"/>
    <n v="15.959999999999999"/>
    <n v="5.33"/>
    <x v="1"/>
  </r>
  <r>
    <n v="101"/>
    <n v="6.3"/>
    <n v="3.3"/>
    <n v="6"/>
    <n v="2.5"/>
    <s v="Iris-virginica"/>
    <n v="20.79"/>
    <n v="15"/>
    <x v="1"/>
  </r>
  <r>
    <n v="102"/>
    <n v="5.8"/>
    <n v="2.7"/>
    <n v="5.0999999999999996"/>
    <n v="1.9"/>
    <s v="Iris-virginica"/>
    <n v="15.66"/>
    <n v="9.69"/>
    <x v="1"/>
  </r>
  <r>
    <n v="103"/>
    <n v="7.1"/>
    <n v="3"/>
    <n v="5.9"/>
    <n v="2.1"/>
    <s v="Iris-virginica"/>
    <n v="21.299999999999997"/>
    <n v="12.39"/>
    <x v="1"/>
  </r>
  <r>
    <n v="104"/>
    <n v="6.3"/>
    <n v="2.9"/>
    <n v="5.6"/>
    <n v="1.8"/>
    <s v="Iris-virginica"/>
    <n v="18.27"/>
    <n v="10.08"/>
    <x v="1"/>
  </r>
  <r>
    <n v="105"/>
    <n v="6.5"/>
    <n v="3"/>
    <n v="5.8"/>
    <n v="2.2000000000000002"/>
    <s v="Iris-virginica"/>
    <n v="19.5"/>
    <n v="12.76"/>
    <x v="1"/>
  </r>
  <r>
    <n v="106"/>
    <n v="7.6"/>
    <n v="3"/>
    <n v="6.6"/>
    <n v="2.1"/>
    <s v="Iris-virginica"/>
    <n v="22.799999999999997"/>
    <n v="13.86"/>
    <x v="1"/>
  </r>
  <r>
    <n v="107"/>
    <n v="4.9000000000000004"/>
    <n v="2.5"/>
    <n v="4.5"/>
    <n v="1.7"/>
    <s v="Iris-virginica"/>
    <n v="12.25"/>
    <n v="7.6499999999999995"/>
    <x v="1"/>
  </r>
  <r>
    <n v="108"/>
    <n v="7.3"/>
    <n v="2.9"/>
    <n v="6.3"/>
    <n v="1.8"/>
    <s v="Iris-virginica"/>
    <n v="21.169999999999998"/>
    <n v="11.34"/>
    <x v="1"/>
  </r>
  <r>
    <n v="109"/>
    <n v="6.7"/>
    <n v="2.5"/>
    <n v="5.8"/>
    <n v="1.8"/>
    <s v="Iris-virginica"/>
    <n v="16.75"/>
    <n v="10.44"/>
    <x v="1"/>
  </r>
  <r>
    <n v="110"/>
    <n v="7.2"/>
    <n v="3.6"/>
    <n v="6.1"/>
    <n v="2.5"/>
    <s v="Iris-virginica"/>
    <n v="25.92"/>
    <n v="15.25"/>
    <x v="1"/>
  </r>
  <r>
    <n v="111"/>
    <n v="6.5"/>
    <n v="3.2"/>
    <n v="5.0999999999999996"/>
    <n v="2"/>
    <s v="Iris-virginica"/>
    <n v="20.8"/>
    <n v="10.199999999999999"/>
    <x v="1"/>
  </r>
  <r>
    <n v="112"/>
    <n v="6.4"/>
    <n v="2.7"/>
    <n v="5.3"/>
    <n v="1.9"/>
    <s v="Iris-virginica"/>
    <n v="17.28"/>
    <n v="10.069999999999999"/>
    <x v="1"/>
  </r>
  <r>
    <n v="113"/>
    <n v="6.8"/>
    <n v="3"/>
    <n v="5.5"/>
    <n v="2.1"/>
    <s v="Iris-virginica"/>
    <n v="20.399999999999999"/>
    <n v="11.55"/>
    <x v="1"/>
  </r>
  <r>
    <n v="114"/>
    <n v="5.7"/>
    <n v="2.5"/>
    <n v="5"/>
    <n v="2"/>
    <s v="Iris-virginica"/>
    <n v="14.25"/>
    <n v="10"/>
    <x v="1"/>
  </r>
  <r>
    <n v="115"/>
    <n v="5.8"/>
    <n v="2.8"/>
    <n v="5.0999999999999996"/>
    <n v="2.4"/>
    <s v="Iris-virginica"/>
    <n v="16.239999999999998"/>
    <n v="12.239999999999998"/>
    <x v="1"/>
  </r>
  <r>
    <n v="116"/>
    <n v="6.4"/>
    <n v="3.2"/>
    <n v="5.3"/>
    <n v="2.2999999999999998"/>
    <s v="Iris-virginica"/>
    <n v="20.480000000000004"/>
    <n v="12.19"/>
    <x v="1"/>
  </r>
  <r>
    <n v="117"/>
    <n v="6.5"/>
    <n v="3"/>
    <n v="5.5"/>
    <n v="1.8"/>
    <s v="Iris-virginica"/>
    <n v="19.5"/>
    <n v="9.9"/>
    <x v="1"/>
  </r>
  <r>
    <n v="118"/>
    <n v="7.7"/>
    <n v="3.8"/>
    <n v="6.7"/>
    <n v="2.2000000000000002"/>
    <s v="Iris-virginica"/>
    <n v="29.259999999999998"/>
    <n v="14.740000000000002"/>
    <x v="1"/>
  </r>
  <r>
    <n v="119"/>
    <n v="7.7"/>
    <n v="2.6"/>
    <n v="6.9"/>
    <n v="2.2999999999999998"/>
    <s v="Iris-virginica"/>
    <n v="20.02"/>
    <n v="15.87"/>
    <x v="1"/>
  </r>
  <r>
    <n v="120"/>
    <n v="6"/>
    <n v="2.2000000000000002"/>
    <n v="5"/>
    <n v="1.5"/>
    <s v="Iris-virginica"/>
    <n v="13.200000000000001"/>
    <n v="7.5"/>
    <x v="1"/>
  </r>
  <r>
    <n v="121"/>
    <n v="6.9"/>
    <n v="3.2"/>
    <n v="5.7"/>
    <n v="2.2999999999999998"/>
    <s v="Iris-virginica"/>
    <n v="22.080000000000002"/>
    <n v="13.11"/>
    <x v="1"/>
  </r>
  <r>
    <n v="122"/>
    <n v="5.6"/>
    <n v="2.8"/>
    <n v="4.9000000000000004"/>
    <n v="2"/>
    <s v="Iris-virginica"/>
    <n v="15.679999999999998"/>
    <n v="9.8000000000000007"/>
    <x v="1"/>
  </r>
  <r>
    <n v="123"/>
    <n v="7.7"/>
    <n v="2.8"/>
    <n v="6.7"/>
    <n v="2"/>
    <s v="Iris-virginica"/>
    <n v="21.56"/>
    <n v="13.4"/>
    <x v="1"/>
  </r>
  <r>
    <n v="124"/>
    <n v="6.3"/>
    <n v="2.7"/>
    <n v="4.9000000000000004"/>
    <n v="1.8"/>
    <s v="Iris-virginica"/>
    <n v="17.010000000000002"/>
    <n v="8.82"/>
    <x v="1"/>
  </r>
  <r>
    <n v="125"/>
    <n v="6.7"/>
    <n v="3.3"/>
    <n v="5.7"/>
    <n v="2.1"/>
    <s v="Iris-virginica"/>
    <n v="22.11"/>
    <n v="11.97"/>
    <x v="1"/>
  </r>
  <r>
    <n v="126"/>
    <n v="7.2"/>
    <n v="3.2"/>
    <n v="6"/>
    <n v="1.8"/>
    <s v="Iris-virginica"/>
    <n v="23.040000000000003"/>
    <n v="10.8"/>
    <x v="1"/>
  </r>
  <r>
    <n v="127"/>
    <n v="6.2"/>
    <n v="2.8"/>
    <n v="4.8"/>
    <n v="1.8"/>
    <s v="Iris-virginica"/>
    <n v="17.36"/>
    <n v="8.64"/>
    <x v="1"/>
  </r>
  <r>
    <n v="128"/>
    <n v="6.1"/>
    <n v="3"/>
    <n v="4.9000000000000004"/>
    <n v="1.8"/>
    <s v="Iris-virginica"/>
    <n v="18.299999999999997"/>
    <n v="8.82"/>
    <x v="1"/>
  </r>
  <r>
    <n v="129"/>
    <n v="6.4"/>
    <n v="2.8"/>
    <n v="5.6"/>
    <n v="2.1"/>
    <s v="Iris-virginica"/>
    <n v="17.919999999999998"/>
    <n v="11.76"/>
    <x v="1"/>
  </r>
  <r>
    <n v="130"/>
    <n v="7.2"/>
    <n v="3"/>
    <n v="5.8"/>
    <n v="1.6"/>
    <s v="Iris-virginica"/>
    <n v="21.6"/>
    <n v="9.2799999999999994"/>
    <x v="1"/>
  </r>
  <r>
    <n v="131"/>
    <n v="7.4"/>
    <n v="2.8"/>
    <n v="6.1"/>
    <n v="1.9"/>
    <s v="Iris-virginica"/>
    <n v="20.72"/>
    <n v="11.589999999999998"/>
    <x v="1"/>
  </r>
  <r>
    <n v="132"/>
    <n v="7.9"/>
    <n v="3.8"/>
    <n v="6.4"/>
    <n v="2"/>
    <s v="Iris-virginica"/>
    <n v="30.02"/>
    <n v="12.8"/>
    <x v="1"/>
  </r>
  <r>
    <n v="133"/>
    <n v="6.4"/>
    <n v="2.8"/>
    <n v="5.6"/>
    <n v="2.2000000000000002"/>
    <s v="Iris-virginica"/>
    <n v="17.919999999999998"/>
    <n v="12.32"/>
    <x v="1"/>
  </r>
  <r>
    <n v="134"/>
    <n v="6.3"/>
    <n v="2.8"/>
    <n v="5.0999999999999996"/>
    <n v="1.5"/>
    <s v="Iris-virginica"/>
    <n v="17.639999999999997"/>
    <n v="7.6499999999999995"/>
    <x v="1"/>
  </r>
  <r>
    <n v="135"/>
    <n v="6.1"/>
    <n v="2.6"/>
    <n v="5.6"/>
    <n v="1.4"/>
    <s v="Iris-virginica"/>
    <n v="15.86"/>
    <n v="7.839999999999999"/>
    <x v="1"/>
  </r>
  <r>
    <n v="136"/>
    <n v="7.7"/>
    <n v="3"/>
    <n v="6.1"/>
    <n v="2.2999999999999998"/>
    <s v="Iris-virginica"/>
    <n v="23.1"/>
    <n v="14.029999999999998"/>
    <x v="1"/>
  </r>
  <r>
    <n v="137"/>
    <n v="6.3"/>
    <n v="3.4"/>
    <n v="5.6"/>
    <n v="2.4"/>
    <s v="Iris-virginica"/>
    <n v="21.419999999999998"/>
    <n v="13.44"/>
    <x v="1"/>
  </r>
  <r>
    <n v="138"/>
    <n v="6.4"/>
    <n v="3.1"/>
    <n v="5.5"/>
    <n v="1.8"/>
    <s v="Iris-virginica"/>
    <n v="19.840000000000003"/>
    <n v="9.9"/>
    <x v="1"/>
  </r>
  <r>
    <n v="139"/>
    <n v="6"/>
    <n v="3"/>
    <n v="4.8"/>
    <n v="1.8"/>
    <s v="Iris-virginica"/>
    <n v="18"/>
    <n v="8.64"/>
    <x v="1"/>
  </r>
  <r>
    <n v="140"/>
    <n v="6.9"/>
    <n v="3.1"/>
    <n v="5.4"/>
    <n v="2.1"/>
    <s v="Iris-virginica"/>
    <n v="21.39"/>
    <n v="11.340000000000002"/>
    <x v="1"/>
  </r>
  <r>
    <n v="141"/>
    <n v="6.7"/>
    <n v="3.1"/>
    <n v="5.6"/>
    <n v="2.4"/>
    <s v="Iris-virginica"/>
    <n v="20.77"/>
    <n v="13.44"/>
    <x v="1"/>
  </r>
  <r>
    <n v="142"/>
    <n v="6.9"/>
    <n v="3.1"/>
    <n v="5.0999999999999996"/>
    <n v="2.2999999999999998"/>
    <s v="Iris-virginica"/>
    <n v="21.39"/>
    <n v="11.729999999999999"/>
    <x v="1"/>
  </r>
  <r>
    <n v="143"/>
    <n v="5.8"/>
    <n v="2.7"/>
    <n v="5.0999999999999996"/>
    <n v="1.9"/>
    <s v="Iris-virginica"/>
    <n v="15.66"/>
    <n v="9.69"/>
    <x v="1"/>
  </r>
  <r>
    <n v="144"/>
    <n v="6.8"/>
    <n v="3.2"/>
    <n v="5.9"/>
    <n v="2.2999999999999998"/>
    <s v="Iris-virginica"/>
    <n v="21.76"/>
    <n v="13.57"/>
    <x v="1"/>
  </r>
  <r>
    <n v="145"/>
    <n v="6.7"/>
    <n v="3.3"/>
    <n v="5.7"/>
    <n v="2.5"/>
    <s v="Iris-virginica"/>
    <n v="22.11"/>
    <n v="14.25"/>
    <x v="1"/>
  </r>
  <r>
    <n v="146"/>
    <n v="6.7"/>
    <n v="3"/>
    <n v="5.2"/>
    <n v="2.2999999999999998"/>
    <s v="Iris-virginica"/>
    <n v="20.100000000000001"/>
    <n v="11.959999999999999"/>
    <x v="1"/>
  </r>
  <r>
    <n v="147"/>
    <n v="6.3"/>
    <n v="2.5"/>
    <n v="5"/>
    <n v="1.9"/>
    <s v="Iris-virginica"/>
    <n v="15.75"/>
    <n v="9.5"/>
    <x v="1"/>
  </r>
  <r>
    <n v="148"/>
    <n v="6.5"/>
    <n v="3"/>
    <n v="5.2"/>
    <n v="2"/>
    <s v="Iris-virginica"/>
    <n v="19.5"/>
    <n v="10.4"/>
    <x v="1"/>
  </r>
  <r>
    <n v="149"/>
    <n v="6.2"/>
    <n v="3.4"/>
    <n v="5.4"/>
    <n v="2.2999999999999998"/>
    <s v="Iris-virginica"/>
    <n v="21.08"/>
    <n v="12.42"/>
    <x v="1"/>
  </r>
  <r>
    <n v="150"/>
    <n v="5.9"/>
    <n v="3"/>
    <n v="5.0999999999999996"/>
    <n v="1.8"/>
    <s v="Iris-virginica"/>
    <n v="17.700000000000003"/>
    <n v="9.18"/>
    <x v="1"/>
  </r>
</pivotCacheRecords>
</file>

<file path=xl/pivotCache/pivotCacheRecords4.xml><?xml version="1.0" encoding="utf-8"?>
<pivotCacheRecords xmlns="http://schemas.openxmlformats.org/spreadsheetml/2006/main" xmlns:r="http://schemas.openxmlformats.org/officeDocument/2006/relationships" count="150">
  <r>
    <n v="1"/>
    <n v="5.0999999999999996"/>
    <n v="3.5"/>
    <n v="1.4"/>
    <n v="0.2"/>
    <x v="0"/>
    <n v="17.849999999999998"/>
    <n v="0.27999999999999997"/>
    <x v="0"/>
  </r>
  <r>
    <n v="2"/>
    <n v="4.9000000000000004"/>
    <n v="3"/>
    <n v="1.4"/>
    <n v="0.2"/>
    <x v="0"/>
    <n v="14.700000000000001"/>
    <n v="0.27999999999999997"/>
    <x v="0"/>
  </r>
  <r>
    <n v="3"/>
    <n v="4.7"/>
    <n v="3.2"/>
    <n v="1.3"/>
    <n v="0.2"/>
    <x v="0"/>
    <n v="15.040000000000001"/>
    <n v="0.26"/>
    <x v="0"/>
  </r>
  <r>
    <n v="4"/>
    <n v="4.5999999999999996"/>
    <n v="3.1"/>
    <n v="1.5"/>
    <n v="0.2"/>
    <x v="0"/>
    <n v="14.26"/>
    <n v="0.30000000000000004"/>
    <x v="0"/>
  </r>
  <r>
    <n v="5"/>
    <n v="5"/>
    <n v="3.6"/>
    <n v="1.4"/>
    <n v="0.2"/>
    <x v="0"/>
    <n v="18"/>
    <n v="0.27999999999999997"/>
    <x v="0"/>
  </r>
  <r>
    <n v="6"/>
    <n v="5.4"/>
    <n v="3.9"/>
    <n v="1.7"/>
    <n v="0.4"/>
    <x v="0"/>
    <n v="21.060000000000002"/>
    <n v="0.68"/>
    <x v="0"/>
  </r>
  <r>
    <n v="7"/>
    <n v="4.5999999999999996"/>
    <n v="3.4"/>
    <n v="1.4"/>
    <n v="0.3"/>
    <x v="0"/>
    <n v="15.639999999999999"/>
    <n v="0.42"/>
    <x v="0"/>
  </r>
  <r>
    <n v="8"/>
    <n v="5"/>
    <n v="3.4"/>
    <n v="1.5"/>
    <n v="0.2"/>
    <x v="0"/>
    <n v="17"/>
    <n v="0.30000000000000004"/>
    <x v="0"/>
  </r>
  <r>
    <n v="9"/>
    <n v="4.4000000000000004"/>
    <n v="2.9"/>
    <n v="1.4"/>
    <n v="0.2"/>
    <x v="0"/>
    <n v="12.76"/>
    <n v="0.27999999999999997"/>
    <x v="0"/>
  </r>
  <r>
    <n v="10"/>
    <n v="4.9000000000000004"/>
    <n v="3.1"/>
    <n v="1.5"/>
    <n v="0.1"/>
    <x v="0"/>
    <n v="15.190000000000001"/>
    <n v="0.15000000000000002"/>
    <x v="0"/>
  </r>
  <r>
    <n v="11"/>
    <n v="5.4"/>
    <n v="3.7"/>
    <n v="1.5"/>
    <n v="0.2"/>
    <x v="0"/>
    <n v="19.980000000000004"/>
    <n v="0.30000000000000004"/>
    <x v="0"/>
  </r>
  <r>
    <n v="12"/>
    <n v="4.8"/>
    <n v="3.4"/>
    <n v="1.6"/>
    <n v="0.2"/>
    <x v="0"/>
    <n v="16.32"/>
    <n v="0.32000000000000006"/>
    <x v="0"/>
  </r>
  <r>
    <n v="13"/>
    <n v="4.8"/>
    <n v="3"/>
    <n v="1.4"/>
    <n v="0.1"/>
    <x v="0"/>
    <n v="14.399999999999999"/>
    <n v="0.13999999999999999"/>
    <x v="0"/>
  </r>
  <r>
    <n v="14"/>
    <n v="4.3"/>
    <n v="3"/>
    <n v="1.1000000000000001"/>
    <n v="0.1"/>
    <x v="0"/>
    <n v="12.899999999999999"/>
    <n v="0.11000000000000001"/>
    <x v="0"/>
  </r>
  <r>
    <n v="15"/>
    <n v="5.8"/>
    <n v="4"/>
    <n v="1.2"/>
    <n v="0.2"/>
    <x v="0"/>
    <n v="23.2"/>
    <n v="0.24"/>
    <x v="0"/>
  </r>
  <r>
    <n v="16"/>
    <n v="5.7"/>
    <n v="4.4000000000000004"/>
    <n v="1.5"/>
    <n v="0.4"/>
    <x v="0"/>
    <n v="25.080000000000002"/>
    <n v="0.60000000000000009"/>
    <x v="0"/>
  </r>
  <r>
    <n v="17"/>
    <n v="5.4"/>
    <n v="3.9"/>
    <n v="1.3"/>
    <n v="0.4"/>
    <x v="0"/>
    <n v="21.060000000000002"/>
    <n v="0.52"/>
    <x v="0"/>
  </r>
  <r>
    <n v="18"/>
    <n v="5.0999999999999996"/>
    <n v="3.5"/>
    <n v="1.4"/>
    <n v="0.3"/>
    <x v="0"/>
    <n v="17.849999999999998"/>
    <n v="0.42"/>
    <x v="0"/>
  </r>
  <r>
    <n v="19"/>
    <n v="5.7"/>
    <n v="3.8"/>
    <n v="1.7"/>
    <n v="0.3"/>
    <x v="0"/>
    <n v="21.66"/>
    <n v="0.51"/>
    <x v="0"/>
  </r>
  <r>
    <n v="20"/>
    <n v="5.0999999999999996"/>
    <n v="3.8"/>
    <n v="1.5"/>
    <n v="0.3"/>
    <x v="0"/>
    <n v="19.38"/>
    <n v="0.44999999999999996"/>
    <x v="0"/>
  </r>
  <r>
    <n v="21"/>
    <n v="5.4"/>
    <n v="3.4"/>
    <n v="1.7"/>
    <n v="0.2"/>
    <x v="0"/>
    <n v="18.36"/>
    <n v="0.34"/>
    <x v="0"/>
  </r>
  <r>
    <n v="22"/>
    <n v="5.0999999999999996"/>
    <n v="3.7"/>
    <n v="1.5"/>
    <n v="0.4"/>
    <x v="0"/>
    <n v="18.87"/>
    <n v="0.60000000000000009"/>
    <x v="0"/>
  </r>
  <r>
    <n v="23"/>
    <n v="4.5999999999999996"/>
    <n v="3.6"/>
    <n v="1"/>
    <n v="0.2"/>
    <x v="0"/>
    <n v="16.559999999999999"/>
    <n v="0.2"/>
    <x v="0"/>
  </r>
  <r>
    <n v="24"/>
    <n v="5.0999999999999996"/>
    <n v="3.3"/>
    <n v="1.7"/>
    <n v="0.5"/>
    <x v="0"/>
    <n v="16.829999999999998"/>
    <n v="0.85"/>
    <x v="0"/>
  </r>
  <r>
    <n v="25"/>
    <n v="4.8"/>
    <n v="3.4"/>
    <n v="1.9"/>
    <n v="0.2"/>
    <x v="0"/>
    <n v="16.32"/>
    <n v="0.38"/>
    <x v="0"/>
  </r>
  <r>
    <n v="26"/>
    <n v="5"/>
    <n v="3"/>
    <n v="1.6"/>
    <n v="0.2"/>
    <x v="0"/>
    <n v="15"/>
    <n v="0.32000000000000006"/>
    <x v="0"/>
  </r>
  <r>
    <n v="27"/>
    <n v="5"/>
    <n v="3.4"/>
    <n v="1.6"/>
    <n v="0.4"/>
    <x v="0"/>
    <n v="17"/>
    <n v="0.64000000000000012"/>
    <x v="0"/>
  </r>
  <r>
    <n v="28"/>
    <n v="5.2"/>
    <n v="3.5"/>
    <n v="1.5"/>
    <n v="0.2"/>
    <x v="0"/>
    <n v="18.2"/>
    <n v="0.30000000000000004"/>
    <x v="0"/>
  </r>
  <r>
    <n v="29"/>
    <n v="5.2"/>
    <n v="3.4"/>
    <n v="1.4"/>
    <n v="0.2"/>
    <x v="0"/>
    <n v="17.68"/>
    <n v="0.27999999999999997"/>
    <x v="0"/>
  </r>
  <r>
    <n v="30"/>
    <n v="4.7"/>
    <n v="3.2"/>
    <n v="1.6"/>
    <n v="0.2"/>
    <x v="0"/>
    <n v="15.040000000000001"/>
    <n v="0.32000000000000006"/>
    <x v="0"/>
  </r>
  <r>
    <n v="31"/>
    <n v="4.8"/>
    <n v="3.1"/>
    <n v="1.6"/>
    <n v="0.2"/>
    <x v="0"/>
    <n v="14.879999999999999"/>
    <n v="0.32000000000000006"/>
    <x v="0"/>
  </r>
  <r>
    <n v="32"/>
    <n v="5.4"/>
    <n v="3.4"/>
    <n v="1.5"/>
    <n v="0.4"/>
    <x v="0"/>
    <n v="18.36"/>
    <n v="0.60000000000000009"/>
    <x v="0"/>
  </r>
  <r>
    <n v="33"/>
    <n v="5.2"/>
    <n v="4.0999999999999996"/>
    <n v="1.5"/>
    <n v="0.1"/>
    <x v="0"/>
    <n v="21.32"/>
    <n v="0.15000000000000002"/>
    <x v="0"/>
  </r>
  <r>
    <n v="34"/>
    <n v="5.5"/>
    <n v="4.2"/>
    <n v="1.4"/>
    <n v="0.2"/>
    <x v="0"/>
    <n v="23.1"/>
    <n v="0.27999999999999997"/>
    <x v="0"/>
  </r>
  <r>
    <n v="35"/>
    <n v="4.9000000000000004"/>
    <n v="3.1"/>
    <n v="1.5"/>
    <n v="0.1"/>
    <x v="0"/>
    <n v="15.190000000000001"/>
    <n v="0.15000000000000002"/>
    <x v="0"/>
  </r>
  <r>
    <n v="36"/>
    <n v="5"/>
    <n v="3.2"/>
    <n v="1.2"/>
    <n v="0.2"/>
    <x v="0"/>
    <n v="16"/>
    <n v="0.24"/>
    <x v="0"/>
  </r>
  <r>
    <n v="37"/>
    <n v="5.5"/>
    <n v="3.5"/>
    <n v="1.3"/>
    <n v="0.2"/>
    <x v="0"/>
    <n v="19.25"/>
    <n v="0.26"/>
    <x v="0"/>
  </r>
  <r>
    <n v="38"/>
    <n v="4.9000000000000004"/>
    <n v="3.1"/>
    <n v="1.5"/>
    <n v="0.1"/>
    <x v="0"/>
    <n v="15.190000000000001"/>
    <n v="0.15000000000000002"/>
    <x v="0"/>
  </r>
  <r>
    <n v="39"/>
    <n v="4.4000000000000004"/>
    <n v="3"/>
    <n v="1.3"/>
    <n v="0.2"/>
    <x v="0"/>
    <n v="13.200000000000001"/>
    <n v="0.26"/>
    <x v="0"/>
  </r>
  <r>
    <n v="40"/>
    <n v="5.0999999999999996"/>
    <n v="3.4"/>
    <n v="1.5"/>
    <n v="0.2"/>
    <x v="0"/>
    <n v="17.34"/>
    <n v="0.30000000000000004"/>
    <x v="0"/>
  </r>
  <r>
    <n v="41"/>
    <n v="5"/>
    <n v="3.5"/>
    <n v="1.3"/>
    <n v="0.3"/>
    <x v="0"/>
    <n v="17.5"/>
    <n v="0.39"/>
    <x v="0"/>
  </r>
  <r>
    <n v="42"/>
    <n v="4.5"/>
    <n v="2.2999999999999998"/>
    <n v="1.3"/>
    <n v="0.3"/>
    <x v="0"/>
    <n v="10.35"/>
    <n v="0.39"/>
    <x v="0"/>
  </r>
  <r>
    <n v="43"/>
    <n v="4.4000000000000004"/>
    <n v="3.2"/>
    <n v="1.3"/>
    <n v="0.2"/>
    <x v="0"/>
    <n v="14.080000000000002"/>
    <n v="0.26"/>
    <x v="0"/>
  </r>
  <r>
    <n v="44"/>
    <n v="5"/>
    <n v="3.5"/>
    <n v="1.6"/>
    <n v="0.6"/>
    <x v="0"/>
    <n v="17.5"/>
    <n v="0.96"/>
    <x v="0"/>
  </r>
  <r>
    <n v="45"/>
    <n v="5.0999999999999996"/>
    <n v="3.8"/>
    <n v="1.9"/>
    <n v="0.4"/>
    <x v="0"/>
    <n v="19.38"/>
    <n v="0.76"/>
    <x v="0"/>
  </r>
  <r>
    <n v="46"/>
    <n v="4.8"/>
    <n v="3"/>
    <n v="1.4"/>
    <n v="0.3"/>
    <x v="0"/>
    <n v="14.399999999999999"/>
    <n v="0.42"/>
    <x v="0"/>
  </r>
  <r>
    <n v="47"/>
    <n v="5.0999999999999996"/>
    <n v="3.8"/>
    <n v="1.6"/>
    <n v="0.2"/>
    <x v="0"/>
    <n v="19.38"/>
    <n v="0.32000000000000006"/>
    <x v="0"/>
  </r>
  <r>
    <n v="48"/>
    <n v="4.5999999999999996"/>
    <n v="3.2"/>
    <n v="1.4"/>
    <n v="0.2"/>
    <x v="0"/>
    <n v="14.719999999999999"/>
    <n v="0.27999999999999997"/>
    <x v="0"/>
  </r>
  <r>
    <n v="49"/>
    <n v="5.3"/>
    <n v="3.7"/>
    <n v="1.5"/>
    <n v="0.2"/>
    <x v="0"/>
    <n v="19.61"/>
    <n v="0.30000000000000004"/>
    <x v="0"/>
  </r>
  <r>
    <n v="50"/>
    <n v="5"/>
    <n v="3.3"/>
    <n v="1.4"/>
    <n v="0.2"/>
    <x v="0"/>
    <n v="16.5"/>
    <n v="0.27999999999999997"/>
    <x v="0"/>
  </r>
  <r>
    <n v="51"/>
    <n v="7"/>
    <n v="3.2"/>
    <n v="4.7"/>
    <n v="1.4"/>
    <x v="1"/>
    <n v="22.400000000000002"/>
    <n v="6.58"/>
    <x v="1"/>
  </r>
  <r>
    <n v="52"/>
    <n v="6.4"/>
    <n v="3.2"/>
    <n v="4.5"/>
    <n v="1.5"/>
    <x v="1"/>
    <n v="20.480000000000004"/>
    <n v="6.75"/>
    <x v="1"/>
  </r>
  <r>
    <n v="53"/>
    <n v="6.9"/>
    <n v="3.1"/>
    <n v="4.9000000000000004"/>
    <n v="1.5"/>
    <x v="1"/>
    <n v="21.39"/>
    <n v="7.3500000000000005"/>
    <x v="1"/>
  </r>
  <r>
    <n v="54"/>
    <n v="5.5"/>
    <n v="2.2999999999999998"/>
    <n v="4"/>
    <n v="1.3"/>
    <x v="1"/>
    <n v="12.649999999999999"/>
    <n v="5.2"/>
    <x v="1"/>
  </r>
  <r>
    <n v="55"/>
    <n v="6.5"/>
    <n v="2.8"/>
    <n v="4.5999999999999996"/>
    <n v="1.5"/>
    <x v="1"/>
    <n v="18.2"/>
    <n v="6.8999999999999995"/>
    <x v="1"/>
  </r>
  <r>
    <n v="56"/>
    <n v="5.7"/>
    <n v="2.8"/>
    <n v="4.5"/>
    <n v="1.3"/>
    <x v="1"/>
    <n v="15.959999999999999"/>
    <n v="5.8500000000000005"/>
    <x v="1"/>
  </r>
  <r>
    <n v="57"/>
    <n v="6.3"/>
    <n v="3.3"/>
    <n v="4.7"/>
    <n v="1.6"/>
    <x v="1"/>
    <n v="20.79"/>
    <n v="7.5200000000000005"/>
    <x v="1"/>
  </r>
  <r>
    <n v="58"/>
    <n v="4.9000000000000004"/>
    <n v="2.4"/>
    <n v="3.3"/>
    <n v="1"/>
    <x v="1"/>
    <n v="11.76"/>
    <n v="3.3"/>
    <x v="2"/>
  </r>
  <r>
    <n v="59"/>
    <n v="6.6"/>
    <n v="2.9"/>
    <n v="4.5999999999999996"/>
    <n v="1.3"/>
    <x v="1"/>
    <n v="19.139999999999997"/>
    <n v="5.9799999999999995"/>
    <x v="1"/>
  </r>
  <r>
    <n v="60"/>
    <n v="5.2"/>
    <n v="2.7"/>
    <n v="3.9"/>
    <n v="1.4"/>
    <x v="1"/>
    <n v="14.040000000000001"/>
    <n v="5.46"/>
    <x v="1"/>
  </r>
  <r>
    <n v="61"/>
    <n v="5"/>
    <n v="2"/>
    <n v="3.5"/>
    <n v="1"/>
    <x v="1"/>
    <n v="10"/>
    <n v="3.5"/>
    <x v="2"/>
  </r>
  <r>
    <n v="62"/>
    <n v="5.9"/>
    <n v="3"/>
    <n v="4.2"/>
    <n v="1.5"/>
    <x v="1"/>
    <n v="17.700000000000003"/>
    <n v="6.3000000000000007"/>
    <x v="1"/>
  </r>
  <r>
    <n v="63"/>
    <n v="6"/>
    <n v="2.2000000000000002"/>
    <n v="4"/>
    <n v="1"/>
    <x v="1"/>
    <n v="13.200000000000001"/>
    <n v="4"/>
    <x v="2"/>
  </r>
  <r>
    <n v="64"/>
    <n v="6.1"/>
    <n v="2.9"/>
    <n v="4.7"/>
    <n v="1.4"/>
    <x v="1"/>
    <n v="17.689999999999998"/>
    <n v="6.58"/>
    <x v="1"/>
  </r>
  <r>
    <n v="65"/>
    <n v="5.6"/>
    <n v="2.9"/>
    <n v="3.6"/>
    <n v="1.3"/>
    <x v="1"/>
    <n v="16.239999999999998"/>
    <n v="4.6800000000000006"/>
    <x v="2"/>
  </r>
  <r>
    <n v="66"/>
    <n v="6.7"/>
    <n v="3.1"/>
    <n v="4.4000000000000004"/>
    <n v="1.4"/>
    <x v="1"/>
    <n v="20.77"/>
    <n v="6.16"/>
    <x v="1"/>
  </r>
  <r>
    <n v="67"/>
    <n v="5.6"/>
    <n v="3"/>
    <n v="4.5"/>
    <n v="1.5"/>
    <x v="1"/>
    <n v="16.799999999999997"/>
    <n v="6.75"/>
    <x v="1"/>
  </r>
  <r>
    <n v="68"/>
    <n v="5.8"/>
    <n v="2.7"/>
    <n v="4.0999999999999996"/>
    <n v="1"/>
    <x v="1"/>
    <n v="15.66"/>
    <n v="4.0999999999999996"/>
    <x v="2"/>
  </r>
  <r>
    <n v="69"/>
    <n v="6.2"/>
    <n v="2.2000000000000002"/>
    <n v="4.5"/>
    <n v="1.5"/>
    <x v="1"/>
    <n v="13.640000000000002"/>
    <n v="6.75"/>
    <x v="1"/>
  </r>
  <r>
    <n v="70"/>
    <n v="5.6"/>
    <n v="2.5"/>
    <n v="3.9"/>
    <n v="1.1000000000000001"/>
    <x v="1"/>
    <n v="14"/>
    <n v="4.29"/>
    <x v="2"/>
  </r>
  <r>
    <n v="71"/>
    <n v="5.9"/>
    <n v="3.2"/>
    <n v="4.8"/>
    <n v="1.8"/>
    <x v="1"/>
    <n v="18.880000000000003"/>
    <n v="8.64"/>
    <x v="1"/>
  </r>
  <r>
    <n v="72"/>
    <n v="6.1"/>
    <n v="2.8"/>
    <n v="4"/>
    <n v="1.3"/>
    <x v="1"/>
    <n v="17.079999999999998"/>
    <n v="5.2"/>
    <x v="1"/>
  </r>
  <r>
    <n v="73"/>
    <n v="6.3"/>
    <n v="2.5"/>
    <n v="4.9000000000000004"/>
    <n v="1.5"/>
    <x v="1"/>
    <n v="15.75"/>
    <n v="7.3500000000000005"/>
    <x v="1"/>
  </r>
  <r>
    <n v="74"/>
    <n v="6.1"/>
    <n v="2.8"/>
    <n v="4.7"/>
    <n v="1.2"/>
    <x v="1"/>
    <n v="17.079999999999998"/>
    <n v="5.64"/>
    <x v="1"/>
  </r>
  <r>
    <n v="75"/>
    <n v="6.4"/>
    <n v="2.9"/>
    <n v="4.3"/>
    <n v="1.3"/>
    <x v="1"/>
    <n v="18.559999999999999"/>
    <n v="5.59"/>
    <x v="1"/>
  </r>
  <r>
    <n v="76"/>
    <n v="6.6"/>
    <n v="3"/>
    <n v="4.4000000000000004"/>
    <n v="1.4"/>
    <x v="1"/>
    <n v="19.799999999999997"/>
    <n v="6.16"/>
    <x v="1"/>
  </r>
  <r>
    <n v="77"/>
    <n v="6.8"/>
    <n v="2.8"/>
    <n v="4.8"/>
    <n v="1.4"/>
    <x v="1"/>
    <n v="19.04"/>
    <n v="6.72"/>
    <x v="1"/>
  </r>
  <r>
    <n v="78"/>
    <n v="6.7"/>
    <n v="3"/>
    <n v="5"/>
    <n v="1.7"/>
    <x v="1"/>
    <n v="20.100000000000001"/>
    <n v="8.5"/>
    <x v="1"/>
  </r>
  <r>
    <n v="79"/>
    <n v="6"/>
    <n v="2.9"/>
    <n v="4.5"/>
    <n v="1.5"/>
    <x v="1"/>
    <n v="17.399999999999999"/>
    <n v="6.75"/>
    <x v="1"/>
  </r>
  <r>
    <n v="80"/>
    <n v="5.7"/>
    <n v="2.6"/>
    <n v="3.5"/>
    <n v="1"/>
    <x v="1"/>
    <n v="14.82"/>
    <n v="3.5"/>
    <x v="2"/>
  </r>
  <r>
    <n v="81"/>
    <n v="5.5"/>
    <n v="2.4"/>
    <n v="3.8"/>
    <n v="1.1000000000000001"/>
    <x v="1"/>
    <n v="13.2"/>
    <n v="4.18"/>
    <x v="2"/>
  </r>
  <r>
    <n v="82"/>
    <n v="5.5"/>
    <n v="2.4"/>
    <n v="3.7"/>
    <n v="1"/>
    <x v="1"/>
    <n v="13.2"/>
    <n v="3.7"/>
    <x v="2"/>
  </r>
  <r>
    <n v="83"/>
    <n v="5.8"/>
    <n v="2.7"/>
    <n v="3.9"/>
    <n v="1.2"/>
    <x v="1"/>
    <n v="15.66"/>
    <n v="4.68"/>
    <x v="2"/>
  </r>
  <r>
    <n v="84"/>
    <n v="6"/>
    <n v="2.7"/>
    <n v="5.0999999999999996"/>
    <n v="1.6"/>
    <x v="1"/>
    <n v="16.200000000000003"/>
    <n v="8.16"/>
    <x v="1"/>
  </r>
  <r>
    <n v="85"/>
    <n v="5.4"/>
    <n v="3"/>
    <n v="4.5"/>
    <n v="1.5"/>
    <x v="1"/>
    <n v="16.200000000000003"/>
    <n v="6.75"/>
    <x v="1"/>
  </r>
  <r>
    <n v="86"/>
    <n v="6"/>
    <n v="3.4"/>
    <n v="4.5"/>
    <n v="1.6"/>
    <x v="1"/>
    <n v="20.399999999999999"/>
    <n v="7.2"/>
    <x v="1"/>
  </r>
  <r>
    <n v="87"/>
    <n v="6.7"/>
    <n v="3.1"/>
    <n v="4.7"/>
    <n v="1.5"/>
    <x v="1"/>
    <n v="20.77"/>
    <n v="7.0500000000000007"/>
    <x v="1"/>
  </r>
  <r>
    <n v="88"/>
    <n v="6.3"/>
    <n v="2.2999999999999998"/>
    <n v="4.4000000000000004"/>
    <n v="1.3"/>
    <x v="1"/>
    <n v="14.489999999999998"/>
    <n v="5.7200000000000006"/>
    <x v="1"/>
  </r>
  <r>
    <n v="89"/>
    <n v="5.6"/>
    <n v="3"/>
    <n v="4.0999999999999996"/>
    <n v="1.3"/>
    <x v="1"/>
    <n v="16.799999999999997"/>
    <n v="5.33"/>
    <x v="1"/>
  </r>
  <r>
    <n v="90"/>
    <n v="5.5"/>
    <n v="2.5"/>
    <n v="4"/>
    <n v="1.3"/>
    <x v="1"/>
    <n v="13.75"/>
    <n v="5.2"/>
    <x v="1"/>
  </r>
  <r>
    <n v="91"/>
    <n v="5.5"/>
    <n v="2.6"/>
    <n v="4.4000000000000004"/>
    <n v="1.2"/>
    <x v="1"/>
    <n v="14.3"/>
    <n v="5.28"/>
    <x v="1"/>
  </r>
  <r>
    <n v="92"/>
    <n v="6.1"/>
    <n v="3"/>
    <n v="4.5999999999999996"/>
    <n v="1.4"/>
    <x v="1"/>
    <n v="18.299999999999997"/>
    <n v="6.4399999999999995"/>
    <x v="1"/>
  </r>
  <r>
    <n v="93"/>
    <n v="5.8"/>
    <n v="2.6"/>
    <n v="4"/>
    <n v="1.2"/>
    <x v="1"/>
    <n v="15.08"/>
    <n v="4.8"/>
    <x v="2"/>
  </r>
  <r>
    <n v="94"/>
    <n v="5"/>
    <n v="2.2999999999999998"/>
    <n v="3.3"/>
    <n v="1"/>
    <x v="1"/>
    <n v="11.5"/>
    <n v="3.3"/>
    <x v="2"/>
  </r>
  <r>
    <n v="95"/>
    <n v="5.6"/>
    <n v="2.7"/>
    <n v="4.2"/>
    <n v="1.3"/>
    <x v="1"/>
    <n v="15.12"/>
    <n v="5.4600000000000009"/>
    <x v="1"/>
  </r>
  <r>
    <n v="96"/>
    <n v="5.7"/>
    <n v="3"/>
    <n v="4.2"/>
    <n v="1.2"/>
    <x v="1"/>
    <n v="17.100000000000001"/>
    <n v="5.04"/>
    <x v="1"/>
  </r>
  <r>
    <n v="97"/>
    <n v="5.7"/>
    <n v="2.9"/>
    <n v="4.2"/>
    <n v="1.3"/>
    <x v="1"/>
    <n v="16.53"/>
    <n v="5.4600000000000009"/>
    <x v="1"/>
  </r>
  <r>
    <n v="98"/>
    <n v="6.2"/>
    <n v="2.9"/>
    <n v="4.3"/>
    <n v="1.3"/>
    <x v="1"/>
    <n v="17.98"/>
    <n v="5.59"/>
    <x v="1"/>
  </r>
  <r>
    <n v="99"/>
    <n v="5.0999999999999996"/>
    <n v="2.5"/>
    <n v="3"/>
    <n v="1.1000000000000001"/>
    <x v="1"/>
    <n v="12.75"/>
    <n v="3.3000000000000003"/>
    <x v="2"/>
  </r>
  <r>
    <n v="100"/>
    <n v="5.7"/>
    <n v="2.8"/>
    <n v="4.0999999999999996"/>
    <n v="1.3"/>
    <x v="1"/>
    <n v="15.959999999999999"/>
    <n v="5.33"/>
    <x v="1"/>
  </r>
  <r>
    <n v="101"/>
    <n v="6.3"/>
    <n v="3.3"/>
    <n v="6"/>
    <n v="2.5"/>
    <x v="2"/>
    <n v="20.79"/>
    <n v="15"/>
    <x v="1"/>
  </r>
  <r>
    <n v="102"/>
    <n v="5.8"/>
    <n v="2.7"/>
    <n v="5.0999999999999996"/>
    <n v="1.9"/>
    <x v="2"/>
    <n v="15.66"/>
    <n v="9.69"/>
    <x v="1"/>
  </r>
  <r>
    <n v="103"/>
    <n v="7.1"/>
    <n v="3"/>
    <n v="5.9"/>
    <n v="2.1"/>
    <x v="2"/>
    <n v="21.299999999999997"/>
    <n v="12.39"/>
    <x v="1"/>
  </r>
  <r>
    <n v="104"/>
    <n v="6.3"/>
    <n v="2.9"/>
    <n v="5.6"/>
    <n v="1.8"/>
    <x v="2"/>
    <n v="18.27"/>
    <n v="10.08"/>
    <x v="1"/>
  </r>
  <r>
    <n v="105"/>
    <n v="6.5"/>
    <n v="3"/>
    <n v="5.8"/>
    <n v="2.2000000000000002"/>
    <x v="2"/>
    <n v="19.5"/>
    <n v="12.76"/>
    <x v="1"/>
  </r>
  <r>
    <n v="106"/>
    <n v="7.6"/>
    <n v="3"/>
    <n v="6.6"/>
    <n v="2.1"/>
    <x v="2"/>
    <n v="22.799999999999997"/>
    <n v="13.86"/>
    <x v="1"/>
  </r>
  <r>
    <n v="107"/>
    <n v="4.9000000000000004"/>
    <n v="2.5"/>
    <n v="4.5"/>
    <n v="1.7"/>
    <x v="2"/>
    <n v="12.25"/>
    <n v="7.6499999999999995"/>
    <x v="1"/>
  </r>
  <r>
    <n v="108"/>
    <n v="7.3"/>
    <n v="2.9"/>
    <n v="6.3"/>
    <n v="1.8"/>
    <x v="2"/>
    <n v="21.169999999999998"/>
    <n v="11.34"/>
    <x v="1"/>
  </r>
  <r>
    <n v="109"/>
    <n v="6.7"/>
    <n v="2.5"/>
    <n v="5.8"/>
    <n v="1.8"/>
    <x v="2"/>
    <n v="16.75"/>
    <n v="10.44"/>
    <x v="1"/>
  </r>
  <r>
    <n v="110"/>
    <n v="7.2"/>
    <n v="3.6"/>
    <n v="6.1"/>
    <n v="2.5"/>
    <x v="2"/>
    <n v="25.92"/>
    <n v="15.25"/>
    <x v="1"/>
  </r>
  <r>
    <n v="111"/>
    <n v="6.5"/>
    <n v="3.2"/>
    <n v="5.0999999999999996"/>
    <n v="2"/>
    <x v="2"/>
    <n v="20.8"/>
    <n v="10.199999999999999"/>
    <x v="1"/>
  </r>
  <r>
    <n v="112"/>
    <n v="6.4"/>
    <n v="2.7"/>
    <n v="5.3"/>
    <n v="1.9"/>
    <x v="2"/>
    <n v="17.28"/>
    <n v="10.069999999999999"/>
    <x v="1"/>
  </r>
  <r>
    <n v="113"/>
    <n v="6.8"/>
    <n v="3"/>
    <n v="5.5"/>
    <n v="2.1"/>
    <x v="2"/>
    <n v="20.399999999999999"/>
    <n v="11.55"/>
    <x v="1"/>
  </r>
  <r>
    <n v="114"/>
    <n v="5.7"/>
    <n v="2.5"/>
    <n v="5"/>
    <n v="2"/>
    <x v="2"/>
    <n v="14.25"/>
    <n v="10"/>
    <x v="1"/>
  </r>
  <r>
    <n v="115"/>
    <n v="5.8"/>
    <n v="2.8"/>
    <n v="5.0999999999999996"/>
    <n v="2.4"/>
    <x v="2"/>
    <n v="16.239999999999998"/>
    <n v="12.239999999999998"/>
    <x v="1"/>
  </r>
  <r>
    <n v="116"/>
    <n v="6.4"/>
    <n v="3.2"/>
    <n v="5.3"/>
    <n v="2.2999999999999998"/>
    <x v="2"/>
    <n v="20.480000000000004"/>
    <n v="12.19"/>
    <x v="1"/>
  </r>
  <r>
    <n v="117"/>
    <n v="6.5"/>
    <n v="3"/>
    <n v="5.5"/>
    <n v="1.8"/>
    <x v="2"/>
    <n v="19.5"/>
    <n v="9.9"/>
    <x v="1"/>
  </r>
  <r>
    <n v="118"/>
    <n v="7.7"/>
    <n v="3.8"/>
    <n v="6.7"/>
    <n v="2.2000000000000002"/>
    <x v="2"/>
    <n v="29.259999999999998"/>
    <n v="14.740000000000002"/>
    <x v="1"/>
  </r>
  <r>
    <n v="119"/>
    <n v="7.7"/>
    <n v="2.6"/>
    <n v="6.9"/>
    <n v="2.2999999999999998"/>
    <x v="2"/>
    <n v="20.02"/>
    <n v="15.87"/>
    <x v="1"/>
  </r>
  <r>
    <n v="120"/>
    <n v="6"/>
    <n v="2.2000000000000002"/>
    <n v="5"/>
    <n v="1.5"/>
    <x v="2"/>
    <n v="13.200000000000001"/>
    <n v="7.5"/>
    <x v="1"/>
  </r>
  <r>
    <n v="121"/>
    <n v="6.9"/>
    <n v="3.2"/>
    <n v="5.7"/>
    <n v="2.2999999999999998"/>
    <x v="2"/>
    <n v="22.080000000000002"/>
    <n v="13.11"/>
    <x v="1"/>
  </r>
  <r>
    <n v="122"/>
    <n v="5.6"/>
    <n v="2.8"/>
    <n v="4.9000000000000004"/>
    <n v="2"/>
    <x v="2"/>
    <n v="15.679999999999998"/>
    <n v="9.8000000000000007"/>
    <x v="1"/>
  </r>
  <r>
    <n v="123"/>
    <n v="7.7"/>
    <n v="2.8"/>
    <n v="6.7"/>
    <n v="2"/>
    <x v="2"/>
    <n v="21.56"/>
    <n v="13.4"/>
    <x v="1"/>
  </r>
  <r>
    <n v="124"/>
    <n v="6.3"/>
    <n v="2.7"/>
    <n v="4.9000000000000004"/>
    <n v="1.8"/>
    <x v="2"/>
    <n v="17.010000000000002"/>
    <n v="8.82"/>
    <x v="1"/>
  </r>
  <r>
    <n v="125"/>
    <n v="6.7"/>
    <n v="3.3"/>
    <n v="5.7"/>
    <n v="2.1"/>
    <x v="2"/>
    <n v="22.11"/>
    <n v="11.97"/>
    <x v="1"/>
  </r>
  <r>
    <n v="126"/>
    <n v="7.2"/>
    <n v="3.2"/>
    <n v="6"/>
    <n v="1.8"/>
    <x v="2"/>
    <n v="23.040000000000003"/>
    <n v="10.8"/>
    <x v="1"/>
  </r>
  <r>
    <n v="127"/>
    <n v="6.2"/>
    <n v="2.8"/>
    <n v="4.8"/>
    <n v="1.8"/>
    <x v="2"/>
    <n v="17.36"/>
    <n v="8.64"/>
    <x v="1"/>
  </r>
  <r>
    <n v="128"/>
    <n v="6.1"/>
    <n v="3"/>
    <n v="4.9000000000000004"/>
    <n v="1.8"/>
    <x v="2"/>
    <n v="18.299999999999997"/>
    <n v="8.82"/>
    <x v="1"/>
  </r>
  <r>
    <n v="129"/>
    <n v="6.4"/>
    <n v="2.8"/>
    <n v="5.6"/>
    <n v="2.1"/>
    <x v="2"/>
    <n v="17.919999999999998"/>
    <n v="11.76"/>
    <x v="1"/>
  </r>
  <r>
    <n v="130"/>
    <n v="7.2"/>
    <n v="3"/>
    <n v="5.8"/>
    <n v="1.6"/>
    <x v="2"/>
    <n v="21.6"/>
    <n v="9.2799999999999994"/>
    <x v="1"/>
  </r>
  <r>
    <n v="131"/>
    <n v="7.4"/>
    <n v="2.8"/>
    <n v="6.1"/>
    <n v="1.9"/>
    <x v="2"/>
    <n v="20.72"/>
    <n v="11.589999999999998"/>
    <x v="1"/>
  </r>
  <r>
    <n v="132"/>
    <n v="7.9"/>
    <n v="3.8"/>
    <n v="6.4"/>
    <n v="2"/>
    <x v="2"/>
    <n v="30.02"/>
    <n v="12.8"/>
    <x v="1"/>
  </r>
  <r>
    <n v="133"/>
    <n v="6.4"/>
    <n v="2.8"/>
    <n v="5.6"/>
    <n v="2.2000000000000002"/>
    <x v="2"/>
    <n v="17.919999999999998"/>
    <n v="12.32"/>
    <x v="1"/>
  </r>
  <r>
    <n v="134"/>
    <n v="6.3"/>
    <n v="2.8"/>
    <n v="5.0999999999999996"/>
    <n v="1.5"/>
    <x v="2"/>
    <n v="17.639999999999997"/>
    <n v="7.6499999999999995"/>
    <x v="1"/>
  </r>
  <r>
    <n v="135"/>
    <n v="6.1"/>
    <n v="2.6"/>
    <n v="5.6"/>
    <n v="1.4"/>
    <x v="2"/>
    <n v="15.86"/>
    <n v="7.839999999999999"/>
    <x v="1"/>
  </r>
  <r>
    <n v="136"/>
    <n v="7.7"/>
    <n v="3"/>
    <n v="6.1"/>
    <n v="2.2999999999999998"/>
    <x v="2"/>
    <n v="23.1"/>
    <n v="14.029999999999998"/>
    <x v="1"/>
  </r>
  <r>
    <n v="137"/>
    <n v="6.3"/>
    <n v="3.4"/>
    <n v="5.6"/>
    <n v="2.4"/>
    <x v="2"/>
    <n v="21.419999999999998"/>
    <n v="13.44"/>
    <x v="1"/>
  </r>
  <r>
    <n v="138"/>
    <n v="6.4"/>
    <n v="3.1"/>
    <n v="5.5"/>
    <n v="1.8"/>
    <x v="2"/>
    <n v="19.840000000000003"/>
    <n v="9.9"/>
    <x v="1"/>
  </r>
  <r>
    <n v="139"/>
    <n v="6"/>
    <n v="3"/>
    <n v="4.8"/>
    <n v="1.8"/>
    <x v="2"/>
    <n v="18"/>
    <n v="8.64"/>
    <x v="1"/>
  </r>
  <r>
    <n v="140"/>
    <n v="6.9"/>
    <n v="3.1"/>
    <n v="5.4"/>
    <n v="2.1"/>
    <x v="2"/>
    <n v="21.39"/>
    <n v="11.340000000000002"/>
    <x v="1"/>
  </r>
  <r>
    <n v="141"/>
    <n v="6.7"/>
    <n v="3.1"/>
    <n v="5.6"/>
    <n v="2.4"/>
    <x v="2"/>
    <n v="20.77"/>
    <n v="13.44"/>
    <x v="1"/>
  </r>
  <r>
    <n v="142"/>
    <n v="6.9"/>
    <n v="3.1"/>
    <n v="5.0999999999999996"/>
    <n v="2.2999999999999998"/>
    <x v="2"/>
    <n v="21.39"/>
    <n v="11.729999999999999"/>
    <x v="1"/>
  </r>
  <r>
    <n v="143"/>
    <n v="5.8"/>
    <n v="2.7"/>
    <n v="5.0999999999999996"/>
    <n v="1.9"/>
    <x v="2"/>
    <n v="15.66"/>
    <n v="9.69"/>
    <x v="1"/>
  </r>
  <r>
    <n v="144"/>
    <n v="6.8"/>
    <n v="3.2"/>
    <n v="5.9"/>
    <n v="2.2999999999999998"/>
    <x v="2"/>
    <n v="21.76"/>
    <n v="13.57"/>
    <x v="1"/>
  </r>
  <r>
    <n v="145"/>
    <n v="6.7"/>
    <n v="3.3"/>
    <n v="5.7"/>
    <n v="2.5"/>
    <x v="2"/>
    <n v="22.11"/>
    <n v="14.25"/>
    <x v="1"/>
  </r>
  <r>
    <n v="146"/>
    <n v="6.7"/>
    <n v="3"/>
    <n v="5.2"/>
    <n v="2.2999999999999998"/>
    <x v="2"/>
    <n v="20.100000000000001"/>
    <n v="11.959999999999999"/>
    <x v="1"/>
  </r>
  <r>
    <n v="147"/>
    <n v="6.3"/>
    <n v="2.5"/>
    <n v="5"/>
    <n v="1.9"/>
    <x v="2"/>
    <n v="15.75"/>
    <n v="9.5"/>
    <x v="1"/>
  </r>
  <r>
    <n v="148"/>
    <n v="6.5"/>
    <n v="3"/>
    <n v="5.2"/>
    <n v="2"/>
    <x v="2"/>
    <n v="19.5"/>
    <n v="10.4"/>
    <x v="1"/>
  </r>
  <r>
    <n v="149"/>
    <n v="6.2"/>
    <n v="3.4"/>
    <n v="5.4"/>
    <n v="2.2999999999999998"/>
    <x v="2"/>
    <n v="21.08"/>
    <n v="12.42"/>
    <x v="1"/>
  </r>
  <r>
    <n v="150"/>
    <n v="5.9"/>
    <n v="3"/>
    <n v="5.0999999999999996"/>
    <n v="1.8"/>
    <x v="2"/>
    <n v="17.700000000000003"/>
    <n v="9.18"/>
    <x v="1"/>
  </r>
</pivotCacheRecords>
</file>

<file path=xl/pivotCache/pivotCacheRecords5.xml><?xml version="1.0" encoding="utf-8"?>
<pivotCacheRecords xmlns="http://schemas.openxmlformats.org/spreadsheetml/2006/main" xmlns:r="http://schemas.openxmlformats.org/officeDocument/2006/relationships" count="150">
  <r>
    <n v="1"/>
    <n v="5.0999999999999996"/>
    <n v="3.5"/>
    <n v="1.4"/>
    <n v="0.2"/>
    <s v="Iris-setosa"/>
    <n v="17.849999999999998"/>
    <n v="0.27999999999999997"/>
    <x v="0"/>
  </r>
  <r>
    <n v="2"/>
    <n v="4.9000000000000004"/>
    <n v="3"/>
    <n v="1.4"/>
    <n v="0.2"/>
    <s v="Iris-setosa"/>
    <n v="14.700000000000001"/>
    <n v="0.27999999999999997"/>
    <x v="0"/>
  </r>
  <r>
    <n v="3"/>
    <n v="4.7"/>
    <n v="3.2"/>
    <n v="1.3"/>
    <n v="0.2"/>
    <s v="Iris-setosa"/>
    <n v="15.040000000000001"/>
    <n v="0.26"/>
    <x v="0"/>
  </r>
  <r>
    <n v="4"/>
    <n v="4.5999999999999996"/>
    <n v="3.1"/>
    <n v="1.5"/>
    <n v="0.2"/>
    <s v="Iris-setosa"/>
    <n v="14.26"/>
    <n v="0.30000000000000004"/>
    <x v="0"/>
  </r>
  <r>
    <n v="5"/>
    <n v="5"/>
    <n v="3.6"/>
    <n v="1.4"/>
    <n v="0.2"/>
    <s v="Iris-setosa"/>
    <n v="18"/>
    <n v="0.27999999999999997"/>
    <x v="0"/>
  </r>
  <r>
    <n v="6"/>
    <n v="5.4"/>
    <n v="3.9"/>
    <n v="1.7"/>
    <n v="0.4"/>
    <s v="Iris-setosa"/>
    <n v="21.060000000000002"/>
    <n v="0.68"/>
    <x v="0"/>
  </r>
  <r>
    <n v="7"/>
    <n v="4.5999999999999996"/>
    <n v="3.4"/>
    <n v="1.4"/>
    <n v="0.3"/>
    <s v="Iris-setosa"/>
    <n v="15.639999999999999"/>
    <n v="0.42"/>
    <x v="0"/>
  </r>
  <r>
    <n v="8"/>
    <n v="5"/>
    <n v="3.4"/>
    <n v="1.5"/>
    <n v="0.2"/>
    <s v="Iris-setosa"/>
    <n v="17"/>
    <n v="0.30000000000000004"/>
    <x v="0"/>
  </r>
  <r>
    <n v="9"/>
    <n v="4.4000000000000004"/>
    <n v="2.9"/>
    <n v="1.4"/>
    <n v="0.2"/>
    <s v="Iris-setosa"/>
    <n v="12.76"/>
    <n v="0.27999999999999997"/>
    <x v="0"/>
  </r>
  <r>
    <n v="10"/>
    <n v="4.9000000000000004"/>
    <n v="3.1"/>
    <n v="1.5"/>
    <n v="0.1"/>
    <s v="Iris-setosa"/>
    <n v="15.190000000000001"/>
    <n v="0.15000000000000002"/>
    <x v="0"/>
  </r>
  <r>
    <n v="11"/>
    <n v="5.4"/>
    <n v="3.7"/>
    <n v="1.5"/>
    <n v="0.2"/>
    <s v="Iris-setosa"/>
    <n v="19.980000000000004"/>
    <n v="0.30000000000000004"/>
    <x v="0"/>
  </r>
  <r>
    <n v="12"/>
    <n v="4.8"/>
    <n v="3.4"/>
    <n v="1.6"/>
    <n v="0.2"/>
    <s v="Iris-setosa"/>
    <n v="16.32"/>
    <n v="0.32000000000000006"/>
    <x v="0"/>
  </r>
  <r>
    <n v="13"/>
    <n v="4.8"/>
    <n v="3"/>
    <n v="1.4"/>
    <n v="0.1"/>
    <s v="Iris-setosa"/>
    <n v="14.399999999999999"/>
    <n v="0.13999999999999999"/>
    <x v="0"/>
  </r>
  <r>
    <n v="14"/>
    <n v="4.3"/>
    <n v="3"/>
    <n v="1.1000000000000001"/>
    <n v="0.1"/>
    <s v="Iris-setosa"/>
    <n v="12.899999999999999"/>
    <n v="0.11000000000000001"/>
    <x v="0"/>
  </r>
  <r>
    <n v="15"/>
    <n v="5.8"/>
    <n v="4"/>
    <n v="1.2"/>
    <n v="0.2"/>
    <s v="Iris-setosa"/>
    <n v="23.2"/>
    <n v="0.24"/>
    <x v="0"/>
  </r>
  <r>
    <n v="16"/>
    <n v="5.7"/>
    <n v="4.4000000000000004"/>
    <n v="1.5"/>
    <n v="0.4"/>
    <s v="Iris-setosa"/>
    <n v="25.080000000000002"/>
    <n v="0.60000000000000009"/>
    <x v="0"/>
  </r>
  <r>
    <n v="17"/>
    <n v="5.4"/>
    <n v="3.9"/>
    <n v="1.3"/>
    <n v="0.4"/>
    <s v="Iris-setosa"/>
    <n v="21.060000000000002"/>
    <n v="0.52"/>
    <x v="0"/>
  </r>
  <r>
    <n v="18"/>
    <n v="5.0999999999999996"/>
    <n v="3.5"/>
    <n v="1.4"/>
    <n v="0.3"/>
    <s v="Iris-setosa"/>
    <n v="17.849999999999998"/>
    <n v="0.42"/>
    <x v="0"/>
  </r>
  <r>
    <n v="19"/>
    <n v="5.7"/>
    <n v="3.8"/>
    <n v="1.7"/>
    <n v="0.3"/>
    <s v="Iris-setosa"/>
    <n v="21.66"/>
    <n v="0.51"/>
    <x v="0"/>
  </r>
  <r>
    <n v="20"/>
    <n v="5.0999999999999996"/>
    <n v="3.8"/>
    <n v="1.5"/>
    <n v="0.3"/>
    <s v="Iris-setosa"/>
    <n v="19.38"/>
    <n v="0.44999999999999996"/>
    <x v="0"/>
  </r>
  <r>
    <n v="21"/>
    <n v="5.4"/>
    <n v="3.4"/>
    <n v="1.7"/>
    <n v="0.2"/>
    <s v="Iris-setosa"/>
    <n v="18.36"/>
    <n v="0.34"/>
    <x v="0"/>
  </r>
  <r>
    <n v="22"/>
    <n v="5.0999999999999996"/>
    <n v="3.7"/>
    <n v="1.5"/>
    <n v="0.4"/>
    <s v="Iris-setosa"/>
    <n v="18.87"/>
    <n v="0.60000000000000009"/>
    <x v="0"/>
  </r>
  <r>
    <n v="23"/>
    <n v="4.5999999999999996"/>
    <n v="3.6"/>
    <n v="1"/>
    <n v="0.2"/>
    <s v="Iris-setosa"/>
    <n v="16.559999999999999"/>
    <n v="0.2"/>
    <x v="0"/>
  </r>
  <r>
    <n v="24"/>
    <n v="5.0999999999999996"/>
    <n v="3.3"/>
    <n v="1.7"/>
    <n v="0.5"/>
    <s v="Iris-setosa"/>
    <n v="16.829999999999998"/>
    <n v="0.85"/>
    <x v="0"/>
  </r>
  <r>
    <n v="25"/>
    <n v="4.8"/>
    <n v="3.4"/>
    <n v="1.9"/>
    <n v="0.2"/>
    <s v="Iris-setosa"/>
    <n v="16.32"/>
    <n v="0.38"/>
    <x v="0"/>
  </r>
  <r>
    <n v="26"/>
    <n v="5"/>
    <n v="3"/>
    <n v="1.6"/>
    <n v="0.2"/>
    <s v="Iris-setosa"/>
    <n v="15"/>
    <n v="0.32000000000000006"/>
    <x v="0"/>
  </r>
  <r>
    <n v="27"/>
    <n v="5"/>
    <n v="3.4"/>
    <n v="1.6"/>
    <n v="0.4"/>
    <s v="Iris-setosa"/>
    <n v="17"/>
    <n v="0.64000000000000012"/>
    <x v="0"/>
  </r>
  <r>
    <n v="28"/>
    <n v="5.2"/>
    <n v="3.5"/>
    <n v="1.5"/>
    <n v="0.2"/>
    <s v="Iris-setosa"/>
    <n v="18.2"/>
    <n v="0.30000000000000004"/>
    <x v="0"/>
  </r>
  <r>
    <n v="29"/>
    <n v="5.2"/>
    <n v="3.4"/>
    <n v="1.4"/>
    <n v="0.2"/>
    <s v="Iris-setosa"/>
    <n v="17.68"/>
    <n v="0.27999999999999997"/>
    <x v="0"/>
  </r>
  <r>
    <n v="30"/>
    <n v="4.7"/>
    <n v="3.2"/>
    <n v="1.6"/>
    <n v="0.2"/>
    <s v="Iris-setosa"/>
    <n v="15.040000000000001"/>
    <n v="0.32000000000000006"/>
    <x v="0"/>
  </r>
  <r>
    <n v="31"/>
    <n v="4.8"/>
    <n v="3.1"/>
    <n v="1.6"/>
    <n v="0.2"/>
    <s v="Iris-setosa"/>
    <n v="14.879999999999999"/>
    <n v="0.32000000000000006"/>
    <x v="0"/>
  </r>
  <r>
    <n v="32"/>
    <n v="5.4"/>
    <n v="3.4"/>
    <n v="1.5"/>
    <n v="0.4"/>
    <s v="Iris-setosa"/>
    <n v="18.36"/>
    <n v="0.60000000000000009"/>
    <x v="0"/>
  </r>
  <r>
    <n v="33"/>
    <n v="5.2"/>
    <n v="4.0999999999999996"/>
    <n v="1.5"/>
    <n v="0.1"/>
    <s v="Iris-setosa"/>
    <n v="21.32"/>
    <n v="0.15000000000000002"/>
    <x v="0"/>
  </r>
  <r>
    <n v="34"/>
    <n v="5.5"/>
    <n v="4.2"/>
    <n v="1.4"/>
    <n v="0.2"/>
    <s v="Iris-setosa"/>
    <n v="23.1"/>
    <n v="0.27999999999999997"/>
    <x v="0"/>
  </r>
  <r>
    <n v="35"/>
    <n v="4.9000000000000004"/>
    <n v="3.1"/>
    <n v="1.5"/>
    <n v="0.1"/>
    <s v="Iris-setosa"/>
    <n v="15.190000000000001"/>
    <n v="0.15000000000000002"/>
    <x v="0"/>
  </r>
  <r>
    <n v="36"/>
    <n v="5"/>
    <n v="3.2"/>
    <n v="1.2"/>
    <n v="0.2"/>
    <s v="Iris-setosa"/>
    <n v="16"/>
    <n v="0.24"/>
    <x v="0"/>
  </r>
  <r>
    <n v="37"/>
    <n v="5.5"/>
    <n v="3.5"/>
    <n v="1.3"/>
    <n v="0.2"/>
    <s v="Iris-setosa"/>
    <n v="19.25"/>
    <n v="0.26"/>
    <x v="0"/>
  </r>
  <r>
    <n v="38"/>
    <n v="4.9000000000000004"/>
    <n v="3.1"/>
    <n v="1.5"/>
    <n v="0.1"/>
    <s v="Iris-setosa"/>
    <n v="15.190000000000001"/>
    <n v="0.15000000000000002"/>
    <x v="0"/>
  </r>
  <r>
    <n v="39"/>
    <n v="4.4000000000000004"/>
    <n v="3"/>
    <n v="1.3"/>
    <n v="0.2"/>
    <s v="Iris-setosa"/>
    <n v="13.200000000000001"/>
    <n v="0.26"/>
    <x v="0"/>
  </r>
  <r>
    <n v="40"/>
    <n v="5.0999999999999996"/>
    <n v="3.4"/>
    <n v="1.5"/>
    <n v="0.2"/>
    <s v="Iris-setosa"/>
    <n v="17.34"/>
    <n v="0.30000000000000004"/>
    <x v="0"/>
  </r>
  <r>
    <n v="41"/>
    <n v="5"/>
    <n v="3.5"/>
    <n v="1.3"/>
    <n v="0.3"/>
    <s v="Iris-setosa"/>
    <n v="17.5"/>
    <n v="0.39"/>
    <x v="0"/>
  </r>
  <r>
    <n v="42"/>
    <n v="4.5"/>
    <n v="2.2999999999999998"/>
    <n v="1.3"/>
    <n v="0.3"/>
    <s v="Iris-setosa"/>
    <n v="10.35"/>
    <n v="0.39"/>
    <x v="0"/>
  </r>
  <r>
    <n v="43"/>
    <n v="4.4000000000000004"/>
    <n v="3.2"/>
    <n v="1.3"/>
    <n v="0.2"/>
    <s v="Iris-setosa"/>
    <n v="14.080000000000002"/>
    <n v="0.26"/>
    <x v="0"/>
  </r>
  <r>
    <n v="44"/>
    <n v="5"/>
    <n v="3.5"/>
    <n v="1.6"/>
    <n v="0.6"/>
    <s v="Iris-setosa"/>
    <n v="17.5"/>
    <n v="0.96"/>
    <x v="0"/>
  </r>
  <r>
    <n v="45"/>
    <n v="5.0999999999999996"/>
    <n v="3.8"/>
    <n v="1.9"/>
    <n v="0.4"/>
    <s v="Iris-setosa"/>
    <n v="19.38"/>
    <n v="0.76"/>
    <x v="0"/>
  </r>
  <r>
    <n v="46"/>
    <n v="4.8"/>
    <n v="3"/>
    <n v="1.4"/>
    <n v="0.3"/>
    <s v="Iris-setosa"/>
    <n v="14.399999999999999"/>
    <n v="0.42"/>
    <x v="0"/>
  </r>
  <r>
    <n v="47"/>
    <n v="5.0999999999999996"/>
    <n v="3.8"/>
    <n v="1.6"/>
    <n v="0.2"/>
    <s v="Iris-setosa"/>
    <n v="19.38"/>
    <n v="0.32000000000000006"/>
    <x v="0"/>
  </r>
  <r>
    <n v="48"/>
    <n v="4.5999999999999996"/>
    <n v="3.2"/>
    <n v="1.4"/>
    <n v="0.2"/>
    <s v="Iris-setosa"/>
    <n v="14.719999999999999"/>
    <n v="0.27999999999999997"/>
    <x v="0"/>
  </r>
  <r>
    <n v="49"/>
    <n v="5.3"/>
    <n v="3.7"/>
    <n v="1.5"/>
    <n v="0.2"/>
    <s v="Iris-setosa"/>
    <n v="19.61"/>
    <n v="0.30000000000000004"/>
    <x v="0"/>
  </r>
  <r>
    <n v="50"/>
    <n v="5"/>
    <n v="3.3"/>
    <n v="1.4"/>
    <n v="0.2"/>
    <s v="Iris-setosa"/>
    <n v="16.5"/>
    <n v="0.27999999999999997"/>
    <x v="0"/>
  </r>
  <r>
    <n v="51"/>
    <n v="7"/>
    <n v="3.2"/>
    <n v="4.7"/>
    <n v="1.4"/>
    <s v="Iris-versicolor"/>
    <n v="22.400000000000002"/>
    <n v="6.58"/>
    <x v="1"/>
  </r>
  <r>
    <n v="52"/>
    <n v="6.4"/>
    <n v="3.2"/>
    <n v="4.5"/>
    <n v="1.5"/>
    <s v="Iris-versicolor"/>
    <n v="20.480000000000004"/>
    <n v="6.75"/>
    <x v="1"/>
  </r>
  <r>
    <n v="53"/>
    <n v="6.9"/>
    <n v="3.1"/>
    <n v="4.9000000000000004"/>
    <n v="1.5"/>
    <s v="Iris-versicolor"/>
    <n v="21.39"/>
    <n v="7.3500000000000005"/>
    <x v="1"/>
  </r>
  <r>
    <n v="54"/>
    <n v="5.5"/>
    <n v="2.2999999999999998"/>
    <n v="4"/>
    <n v="1.3"/>
    <s v="Iris-versicolor"/>
    <n v="12.649999999999999"/>
    <n v="5.2"/>
    <x v="1"/>
  </r>
  <r>
    <n v="55"/>
    <n v="6.5"/>
    <n v="2.8"/>
    <n v="4.5999999999999996"/>
    <n v="1.5"/>
    <s v="Iris-versicolor"/>
    <n v="18.2"/>
    <n v="6.8999999999999995"/>
    <x v="1"/>
  </r>
  <r>
    <n v="56"/>
    <n v="5.7"/>
    <n v="2.8"/>
    <n v="4.5"/>
    <n v="1.3"/>
    <s v="Iris-versicolor"/>
    <n v="15.959999999999999"/>
    <n v="5.8500000000000005"/>
    <x v="1"/>
  </r>
  <r>
    <n v="57"/>
    <n v="6.3"/>
    <n v="3.3"/>
    <n v="4.7"/>
    <n v="1.6"/>
    <s v="Iris-versicolor"/>
    <n v="20.79"/>
    <n v="7.5200000000000005"/>
    <x v="1"/>
  </r>
  <r>
    <n v="58"/>
    <n v="4.9000000000000004"/>
    <n v="2.4"/>
    <n v="3.3"/>
    <n v="1"/>
    <s v="Iris-versicolor"/>
    <n v="11.76"/>
    <n v="3.3"/>
    <x v="2"/>
  </r>
  <r>
    <n v="59"/>
    <n v="6.6"/>
    <n v="2.9"/>
    <n v="4.5999999999999996"/>
    <n v="1.3"/>
    <s v="Iris-versicolor"/>
    <n v="19.139999999999997"/>
    <n v="5.9799999999999995"/>
    <x v="1"/>
  </r>
  <r>
    <n v="60"/>
    <n v="5.2"/>
    <n v="2.7"/>
    <n v="3.9"/>
    <n v="1.4"/>
    <s v="Iris-versicolor"/>
    <n v="14.040000000000001"/>
    <n v="5.46"/>
    <x v="1"/>
  </r>
  <r>
    <n v="61"/>
    <n v="5"/>
    <n v="2"/>
    <n v="3.5"/>
    <n v="1"/>
    <s v="Iris-versicolor"/>
    <n v="10"/>
    <n v="3.5"/>
    <x v="2"/>
  </r>
  <r>
    <n v="62"/>
    <n v="5.9"/>
    <n v="3"/>
    <n v="4.2"/>
    <n v="1.5"/>
    <s v="Iris-versicolor"/>
    <n v="17.700000000000003"/>
    <n v="6.3000000000000007"/>
    <x v="1"/>
  </r>
  <r>
    <n v="63"/>
    <n v="6"/>
    <n v="2.2000000000000002"/>
    <n v="4"/>
    <n v="1"/>
    <s v="Iris-versicolor"/>
    <n v="13.200000000000001"/>
    <n v="4"/>
    <x v="2"/>
  </r>
  <r>
    <n v="64"/>
    <n v="6.1"/>
    <n v="2.9"/>
    <n v="4.7"/>
    <n v="1.4"/>
    <s v="Iris-versicolor"/>
    <n v="17.689999999999998"/>
    <n v="6.58"/>
    <x v="1"/>
  </r>
  <r>
    <n v="65"/>
    <n v="5.6"/>
    <n v="2.9"/>
    <n v="3.6"/>
    <n v="1.3"/>
    <s v="Iris-versicolor"/>
    <n v="16.239999999999998"/>
    <n v="4.6800000000000006"/>
    <x v="2"/>
  </r>
  <r>
    <n v="66"/>
    <n v="6.7"/>
    <n v="3.1"/>
    <n v="4.4000000000000004"/>
    <n v="1.4"/>
    <s v="Iris-versicolor"/>
    <n v="20.77"/>
    <n v="6.16"/>
    <x v="1"/>
  </r>
  <r>
    <n v="67"/>
    <n v="5.6"/>
    <n v="3"/>
    <n v="4.5"/>
    <n v="1.5"/>
    <s v="Iris-versicolor"/>
    <n v="16.799999999999997"/>
    <n v="6.75"/>
    <x v="1"/>
  </r>
  <r>
    <n v="68"/>
    <n v="5.8"/>
    <n v="2.7"/>
    <n v="4.0999999999999996"/>
    <n v="1"/>
    <s v="Iris-versicolor"/>
    <n v="15.66"/>
    <n v="4.0999999999999996"/>
    <x v="2"/>
  </r>
  <r>
    <n v="69"/>
    <n v="6.2"/>
    <n v="2.2000000000000002"/>
    <n v="4.5"/>
    <n v="1.5"/>
    <s v="Iris-versicolor"/>
    <n v="13.640000000000002"/>
    <n v="6.75"/>
    <x v="1"/>
  </r>
  <r>
    <n v="70"/>
    <n v="5.6"/>
    <n v="2.5"/>
    <n v="3.9"/>
    <n v="1.1000000000000001"/>
    <s v="Iris-versicolor"/>
    <n v="14"/>
    <n v="4.29"/>
    <x v="2"/>
  </r>
  <r>
    <n v="71"/>
    <n v="5.9"/>
    <n v="3.2"/>
    <n v="4.8"/>
    <n v="1.8"/>
    <s v="Iris-versicolor"/>
    <n v="18.880000000000003"/>
    <n v="8.64"/>
    <x v="1"/>
  </r>
  <r>
    <n v="72"/>
    <n v="6.1"/>
    <n v="2.8"/>
    <n v="4"/>
    <n v="1.3"/>
    <s v="Iris-versicolor"/>
    <n v="17.079999999999998"/>
    <n v="5.2"/>
    <x v="1"/>
  </r>
  <r>
    <n v="73"/>
    <n v="6.3"/>
    <n v="2.5"/>
    <n v="4.9000000000000004"/>
    <n v="1.5"/>
    <s v="Iris-versicolor"/>
    <n v="15.75"/>
    <n v="7.3500000000000005"/>
    <x v="1"/>
  </r>
  <r>
    <n v="74"/>
    <n v="6.1"/>
    <n v="2.8"/>
    <n v="4.7"/>
    <n v="1.2"/>
    <s v="Iris-versicolor"/>
    <n v="17.079999999999998"/>
    <n v="5.64"/>
    <x v="1"/>
  </r>
  <r>
    <n v="75"/>
    <n v="6.4"/>
    <n v="2.9"/>
    <n v="4.3"/>
    <n v="1.3"/>
    <s v="Iris-versicolor"/>
    <n v="18.559999999999999"/>
    <n v="5.59"/>
    <x v="1"/>
  </r>
  <r>
    <n v="76"/>
    <n v="6.6"/>
    <n v="3"/>
    <n v="4.4000000000000004"/>
    <n v="1.4"/>
    <s v="Iris-versicolor"/>
    <n v="19.799999999999997"/>
    <n v="6.16"/>
    <x v="1"/>
  </r>
  <r>
    <n v="77"/>
    <n v="6.8"/>
    <n v="2.8"/>
    <n v="4.8"/>
    <n v="1.4"/>
    <s v="Iris-versicolor"/>
    <n v="19.04"/>
    <n v="6.72"/>
    <x v="1"/>
  </r>
  <r>
    <n v="78"/>
    <n v="6.7"/>
    <n v="3"/>
    <n v="5"/>
    <n v="1.7"/>
    <s v="Iris-versicolor"/>
    <n v="20.100000000000001"/>
    <n v="8.5"/>
    <x v="1"/>
  </r>
  <r>
    <n v="79"/>
    <n v="6"/>
    <n v="2.9"/>
    <n v="4.5"/>
    <n v="1.5"/>
    <s v="Iris-versicolor"/>
    <n v="17.399999999999999"/>
    <n v="6.75"/>
    <x v="1"/>
  </r>
  <r>
    <n v="80"/>
    <n v="5.7"/>
    <n v="2.6"/>
    <n v="3.5"/>
    <n v="1"/>
    <s v="Iris-versicolor"/>
    <n v="14.82"/>
    <n v="3.5"/>
    <x v="2"/>
  </r>
  <r>
    <n v="81"/>
    <n v="5.5"/>
    <n v="2.4"/>
    <n v="3.8"/>
    <n v="1.1000000000000001"/>
    <s v="Iris-versicolor"/>
    <n v="13.2"/>
    <n v="4.18"/>
    <x v="2"/>
  </r>
  <r>
    <n v="82"/>
    <n v="5.5"/>
    <n v="2.4"/>
    <n v="3.7"/>
    <n v="1"/>
    <s v="Iris-versicolor"/>
    <n v="13.2"/>
    <n v="3.7"/>
    <x v="2"/>
  </r>
  <r>
    <n v="83"/>
    <n v="5.8"/>
    <n v="2.7"/>
    <n v="3.9"/>
    <n v="1.2"/>
    <s v="Iris-versicolor"/>
    <n v="15.66"/>
    <n v="4.68"/>
    <x v="2"/>
  </r>
  <r>
    <n v="84"/>
    <n v="6"/>
    <n v="2.7"/>
    <n v="5.0999999999999996"/>
    <n v="1.6"/>
    <s v="Iris-versicolor"/>
    <n v="16.200000000000003"/>
    <n v="8.16"/>
    <x v="1"/>
  </r>
  <r>
    <n v="85"/>
    <n v="5.4"/>
    <n v="3"/>
    <n v="4.5"/>
    <n v="1.5"/>
    <s v="Iris-versicolor"/>
    <n v="16.200000000000003"/>
    <n v="6.75"/>
    <x v="1"/>
  </r>
  <r>
    <n v="86"/>
    <n v="6"/>
    <n v="3.4"/>
    <n v="4.5"/>
    <n v="1.6"/>
    <s v="Iris-versicolor"/>
    <n v="20.399999999999999"/>
    <n v="7.2"/>
    <x v="1"/>
  </r>
  <r>
    <n v="87"/>
    <n v="6.7"/>
    <n v="3.1"/>
    <n v="4.7"/>
    <n v="1.5"/>
    <s v="Iris-versicolor"/>
    <n v="20.77"/>
    <n v="7.0500000000000007"/>
    <x v="1"/>
  </r>
  <r>
    <n v="88"/>
    <n v="6.3"/>
    <n v="2.2999999999999998"/>
    <n v="4.4000000000000004"/>
    <n v="1.3"/>
    <s v="Iris-versicolor"/>
    <n v="14.489999999999998"/>
    <n v="5.7200000000000006"/>
    <x v="1"/>
  </r>
  <r>
    <n v="89"/>
    <n v="5.6"/>
    <n v="3"/>
    <n v="4.0999999999999996"/>
    <n v="1.3"/>
    <s v="Iris-versicolor"/>
    <n v="16.799999999999997"/>
    <n v="5.33"/>
    <x v="1"/>
  </r>
  <r>
    <n v="90"/>
    <n v="5.5"/>
    <n v="2.5"/>
    <n v="4"/>
    <n v="1.3"/>
    <s v="Iris-versicolor"/>
    <n v="13.75"/>
    <n v="5.2"/>
    <x v="1"/>
  </r>
  <r>
    <n v="91"/>
    <n v="5.5"/>
    <n v="2.6"/>
    <n v="4.4000000000000004"/>
    <n v="1.2"/>
    <s v="Iris-versicolor"/>
    <n v="14.3"/>
    <n v="5.28"/>
    <x v="1"/>
  </r>
  <r>
    <n v="92"/>
    <n v="6.1"/>
    <n v="3"/>
    <n v="4.5999999999999996"/>
    <n v="1.4"/>
    <s v="Iris-versicolor"/>
    <n v="18.299999999999997"/>
    <n v="6.4399999999999995"/>
    <x v="1"/>
  </r>
  <r>
    <n v="93"/>
    <n v="5.8"/>
    <n v="2.6"/>
    <n v="4"/>
    <n v="1.2"/>
    <s v="Iris-versicolor"/>
    <n v="15.08"/>
    <n v="4.8"/>
    <x v="2"/>
  </r>
  <r>
    <n v="94"/>
    <n v="5"/>
    <n v="2.2999999999999998"/>
    <n v="3.3"/>
    <n v="1"/>
    <s v="Iris-versicolor"/>
    <n v="11.5"/>
    <n v="3.3"/>
    <x v="2"/>
  </r>
  <r>
    <n v="95"/>
    <n v="5.6"/>
    <n v="2.7"/>
    <n v="4.2"/>
    <n v="1.3"/>
    <s v="Iris-versicolor"/>
    <n v="15.12"/>
    <n v="5.4600000000000009"/>
    <x v="1"/>
  </r>
  <r>
    <n v="96"/>
    <n v="5.7"/>
    <n v="3"/>
    <n v="4.2"/>
    <n v="1.2"/>
    <s v="Iris-versicolor"/>
    <n v="17.100000000000001"/>
    <n v="5.04"/>
    <x v="1"/>
  </r>
  <r>
    <n v="97"/>
    <n v="5.7"/>
    <n v="2.9"/>
    <n v="4.2"/>
    <n v="1.3"/>
    <s v="Iris-versicolor"/>
    <n v="16.53"/>
    <n v="5.4600000000000009"/>
    <x v="1"/>
  </r>
  <r>
    <n v="98"/>
    <n v="6.2"/>
    <n v="2.9"/>
    <n v="4.3"/>
    <n v="1.3"/>
    <s v="Iris-versicolor"/>
    <n v="17.98"/>
    <n v="5.59"/>
    <x v="1"/>
  </r>
  <r>
    <n v="99"/>
    <n v="5.0999999999999996"/>
    <n v="2.5"/>
    <n v="3"/>
    <n v="1.1000000000000001"/>
    <s v="Iris-versicolor"/>
    <n v="12.75"/>
    <n v="3.3000000000000003"/>
    <x v="2"/>
  </r>
  <r>
    <n v="100"/>
    <n v="5.7"/>
    <n v="2.8"/>
    <n v="4.0999999999999996"/>
    <n v="1.3"/>
    <s v="Iris-versicolor"/>
    <n v="15.959999999999999"/>
    <n v="5.33"/>
    <x v="1"/>
  </r>
  <r>
    <n v="101"/>
    <n v="6.3"/>
    <n v="3.3"/>
    <n v="6"/>
    <n v="2.5"/>
    <s v="Iris-virginica"/>
    <n v="20.79"/>
    <n v="15"/>
    <x v="1"/>
  </r>
  <r>
    <n v="102"/>
    <n v="5.8"/>
    <n v="2.7"/>
    <n v="5.0999999999999996"/>
    <n v="1.9"/>
    <s v="Iris-virginica"/>
    <n v="15.66"/>
    <n v="9.69"/>
    <x v="1"/>
  </r>
  <r>
    <n v="103"/>
    <n v="7.1"/>
    <n v="3"/>
    <n v="5.9"/>
    <n v="2.1"/>
    <s v="Iris-virginica"/>
    <n v="21.299999999999997"/>
    <n v="12.39"/>
    <x v="1"/>
  </r>
  <r>
    <n v="104"/>
    <n v="6.3"/>
    <n v="2.9"/>
    <n v="5.6"/>
    <n v="1.8"/>
    <s v="Iris-virginica"/>
    <n v="18.27"/>
    <n v="10.08"/>
    <x v="1"/>
  </r>
  <r>
    <n v="105"/>
    <n v="6.5"/>
    <n v="3"/>
    <n v="5.8"/>
    <n v="2.2000000000000002"/>
    <s v="Iris-virginica"/>
    <n v="19.5"/>
    <n v="12.76"/>
    <x v="1"/>
  </r>
  <r>
    <n v="106"/>
    <n v="7.6"/>
    <n v="3"/>
    <n v="6.6"/>
    <n v="2.1"/>
    <s v="Iris-virginica"/>
    <n v="22.799999999999997"/>
    <n v="13.86"/>
    <x v="1"/>
  </r>
  <r>
    <n v="107"/>
    <n v="4.9000000000000004"/>
    <n v="2.5"/>
    <n v="4.5"/>
    <n v="1.7"/>
    <s v="Iris-virginica"/>
    <n v="12.25"/>
    <n v="7.6499999999999995"/>
    <x v="1"/>
  </r>
  <r>
    <n v="108"/>
    <n v="7.3"/>
    <n v="2.9"/>
    <n v="6.3"/>
    <n v="1.8"/>
    <s v="Iris-virginica"/>
    <n v="21.169999999999998"/>
    <n v="11.34"/>
    <x v="1"/>
  </r>
  <r>
    <n v="109"/>
    <n v="6.7"/>
    <n v="2.5"/>
    <n v="5.8"/>
    <n v="1.8"/>
    <s v="Iris-virginica"/>
    <n v="16.75"/>
    <n v="10.44"/>
    <x v="1"/>
  </r>
  <r>
    <n v="110"/>
    <n v="7.2"/>
    <n v="3.6"/>
    <n v="6.1"/>
    <n v="2.5"/>
    <s v="Iris-virginica"/>
    <n v="25.92"/>
    <n v="15.25"/>
    <x v="1"/>
  </r>
  <r>
    <n v="111"/>
    <n v="6.5"/>
    <n v="3.2"/>
    <n v="5.0999999999999996"/>
    <n v="2"/>
    <s v="Iris-virginica"/>
    <n v="20.8"/>
    <n v="10.199999999999999"/>
    <x v="1"/>
  </r>
  <r>
    <n v="112"/>
    <n v="6.4"/>
    <n v="2.7"/>
    <n v="5.3"/>
    <n v="1.9"/>
    <s v="Iris-virginica"/>
    <n v="17.28"/>
    <n v="10.069999999999999"/>
    <x v="1"/>
  </r>
  <r>
    <n v="113"/>
    <n v="6.8"/>
    <n v="3"/>
    <n v="5.5"/>
    <n v="2.1"/>
    <s v="Iris-virginica"/>
    <n v="20.399999999999999"/>
    <n v="11.55"/>
    <x v="1"/>
  </r>
  <r>
    <n v="114"/>
    <n v="5.7"/>
    <n v="2.5"/>
    <n v="5"/>
    <n v="2"/>
    <s v="Iris-virginica"/>
    <n v="14.25"/>
    <n v="10"/>
    <x v="1"/>
  </r>
  <r>
    <n v="115"/>
    <n v="5.8"/>
    <n v="2.8"/>
    <n v="5.0999999999999996"/>
    <n v="2.4"/>
    <s v="Iris-virginica"/>
    <n v="16.239999999999998"/>
    <n v="12.239999999999998"/>
    <x v="1"/>
  </r>
  <r>
    <n v="116"/>
    <n v="6.4"/>
    <n v="3.2"/>
    <n v="5.3"/>
    <n v="2.2999999999999998"/>
    <s v="Iris-virginica"/>
    <n v="20.480000000000004"/>
    <n v="12.19"/>
    <x v="1"/>
  </r>
  <r>
    <n v="117"/>
    <n v="6.5"/>
    <n v="3"/>
    <n v="5.5"/>
    <n v="1.8"/>
    <s v="Iris-virginica"/>
    <n v="19.5"/>
    <n v="9.9"/>
    <x v="1"/>
  </r>
  <r>
    <n v="118"/>
    <n v="7.7"/>
    <n v="3.8"/>
    <n v="6.7"/>
    <n v="2.2000000000000002"/>
    <s v="Iris-virginica"/>
    <n v="29.259999999999998"/>
    <n v="14.740000000000002"/>
    <x v="1"/>
  </r>
  <r>
    <n v="119"/>
    <n v="7.7"/>
    <n v="2.6"/>
    <n v="6.9"/>
    <n v="2.2999999999999998"/>
    <s v="Iris-virginica"/>
    <n v="20.02"/>
    <n v="15.87"/>
    <x v="1"/>
  </r>
  <r>
    <n v="120"/>
    <n v="6"/>
    <n v="2.2000000000000002"/>
    <n v="5"/>
    <n v="1.5"/>
    <s v="Iris-virginica"/>
    <n v="13.200000000000001"/>
    <n v="7.5"/>
    <x v="1"/>
  </r>
  <r>
    <n v="121"/>
    <n v="6.9"/>
    <n v="3.2"/>
    <n v="5.7"/>
    <n v="2.2999999999999998"/>
    <s v="Iris-virginica"/>
    <n v="22.080000000000002"/>
    <n v="13.11"/>
    <x v="1"/>
  </r>
  <r>
    <n v="122"/>
    <n v="5.6"/>
    <n v="2.8"/>
    <n v="4.9000000000000004"/>
    <n v="2"/>
    <s v="Iris-virginica"/>
    <n v="15.679999999999998"/>
    <n v="9.8000000000000007"/>
    <x v="1"/>
  </r>
  <r>
    <n v="123"/>
    <n v="7.7"/>
    <n v="2.8"/>
    <n v="6.7"/>
    <n v="2"/>
    <s v="Iris-virginica"/>
    <n v="21.56"/>
    <n v="13.4"/>
    <x v="1"/>
  </r>
  <r>
    <n v="124"/>
    <n v="6.3"/>
    <n v="2.7"/>
    <n v="4.9000000000000004"/>
    <n v="1.8"/>
    <s v="Iris-virginica"/>
    <n v="17.010000000000002"/>
    <n v="8.82"/>
    <x v="1"/>
  </r>
  <r>
    <n v="125"/>
    <n v="6.7"/>
    <n v="3.3"/>
    <n v="5.7"/>
    <n v="2.1"/>
    <s v="Iris-virginica"/>
    <n v="22.11"/>
    <n v="11.97"/>
    <x v="1"/>
  </r>
  <r>
    <n v="126"/>
    <n v="7.2"/>
    <n v="3.2"/>
    <n v="6"/>
    <n v="1.8"/>
    <s v="Iris-virginica"/>
    <n v="23.040000000000003"/>
    <n v="10.8"/>
    <x v="1"/>
  </r>
  <r>
    <n v="127"/>
    <n v="6.2"/>
    <n v="2.8"/>
    <n v="4.8"/>
    <n v="1.8"/>
    <s v="Iris-virginica"/>
    <n v="17.36"/>
    <n v="8.64"/>
    <x v="1"/>
  </r>
  <r>
    <n v="128"/>
    <n v="6.1"/>
    <n v="3"/>
    <n v="4.9000000000000004"/>
    <n v="1.8"/>
    <s v="Iris-virginica"/>
    <n v="18.299999999999997"/>
    <n v="8.82"/>
    <x v="1"/>
  </r>
  <r>
    <n v="129"/>
    <n v="6.4"/>
    <n v="2.8"/>
    <n v="5.6"/>
    <n v="2.1"/>
    <s v="Iris-virginica"/>
    <n v="17.919999999999998"/>
    <n v="11.76"/>
    <x v="1"/>
  </r>
  <r>
    <n v="130"/>
    <n v="7.2"/>
    <n v="3"/>
    <n v="5.8"/>
    <n v="1.6"/>
    <s v="Iris-virginica"/>
    <n v="21.6"/>
    <n v="9.2799999999999994"/>
    <x v="1"/>
  </r>
  <r>
    <n v="131"/>
    <n v="7.4"/>
    <n v="2.8"/>
    <n v="6.1"/>
    <n v="1.9"/>
    <s v="Iris-virginica"/>
    <n v="20.72"/>
    <n v="11.589999999999998"/>
    <x v="1"/>
  </r>
  <r>
    <n v="132"/>
    <n v="7.9"/>
    <n v="3.8"/>
    <n v="6.4"/>
    <n v="2"/>
    <s v="Iris-virginica"/>
    <n v="30.02"/>
    <n v="12.8"/>
    <x v="1"/>
  </r>
  <r>
    <n v="133"/>
    <n v="6.4"/>
    <n v="2.8"/>
    <n v="5.6"/>
    <n v="2.2000000000000002"/>
    <s v="Iris-virginica"/>
    <n v="17.919999999999998"/>
    <n v="12.32"/>
    <x v="1"/>
  </r>
  <r>
    <n v="134"/>
    <n v="6.3"/>
    <n v="2.8"/>
    <n v="5.0999999999999996"/>
    <n v="1.5"/>
    <s v="Iris-virginica"/>
    <n v="17.639999999999997"/>
    <n v="7.6499999999999995"/>
    <x v="1"/>
  </r>
  <r>
    <n v="135"/>
    <n v="6.1"/>
    <n v="2.6"/>
    <n v="5.6"/>
    <n v="1.4"/>
    <s v="Iris-virginica"/>
    <n v="15.86"/>
    <n v="7.839999999999999"/>
    <x v="1"/>
  </r>
  <r>
    <n v="136"/>
    <n v="7.7"/>
    <n v="3"/>
    <n v="6.1"/>
    <n v="2.2999999999999998"/>
    <s v="Iris-virginica"/>
    <n v="23.1"/>
    <n v="14.029999999999998"/>
    <x v="1"/>
  </r>
  <r>
    <n v="137"/>
    <n v="6.3"/>
    <n v="3.4"/>
    <n v="5.6"/>
    <n v="2.4"/>
    <s v="Iris-virginica"/>
    <n v="21.419999999999998"/>
    <n v="13.44"/>
    <x v="1"/>
  </r>
  <r>
    <n v="138"/>
    <n v="6.4"/>
    <n v="3.1"/>
    <n v="5.5"/>
    <n v="1.8"/>
    <s v="Iris-virginica"/>
    <n v="19.840000000000003"/>
    <n v="9.9"/>
    <x v="1"/>
  </r>
  <r>
    <n v="139"/>
    <n v="6"/>
    <n v="3"/>
    <n v="4.8"/>
    <n v="1.8"/>
    <s v="Iris-virginica"/>
    <n v="18"/>
    <n v="8.64"/>
    <x v="1"/>
  </r>
  <r>
    <n v="140"/>
    <n v="6.9"/>
    <n v="3.1"/>
    <n v="5.4"/>
    <n v="2.1"/>
    <s v="Iris-virginica"/>
    <n v="21.39"/>
    <n v="11.340000000000002"/>
    <x v="1"/>
  </r>
  <r>
    <n v="141"/>
    <n v="6.7"/>
    <n v="3.1"/>
    <n v="5.6"/>
    <n v="2.4"/>
    <s v="Iris-virginica"/>
    <n v="20.77"/>
    <n v="13.44"/>
    <x v="1"/>
  </r>
  <r>
    <n v="142"/>
    <n v="6.9"/>
    <n v="3.1"/>
    <n v="5.0999999999999996"/>
    <n v="2.2999999999999998"/>
    <s v="Iris-virginica"/>
    <n v="21.39"/>
    <n v="11.729999999999999"/>
    <x v="1"/>
  </r>
  <r>
    <n v="143"/>
    <n v="5.8"/>
    <n v="2.7"/>
    <n v="5.0999999999999996"/>
    <n v="1.9"/>
    <s v="Iris-virginica"/>
    <n v="15.66"/>
    <n v="9.69"/>
    <x v="1"/>
  </r>
  <r>
    <n v="144"/>
    <n v="6.8"/>
    <n v="3.2"/>
    <n v="5.9"/>
    <n v="2.2999999999999998"/>
    <s v="Iris-virginica"/>
    <n v="21.76"/>
    <n v="13.57"/>
    <x v="1"/>
  </r>
  <r>
    <n v="145"/>
    <n v="6.7"/>
    <n v="3.3"/>
    <n v="5.7"/>
    <n v="2.5"/>
    <s v="Iris-virginica"/>
    <n v="22.11"/>
    <n v="14.25"/>
    <x v="1"/>
  </r>
  <r>
    <n v="146"/>
    <n v="6.7"/>
    <n v="3"/>
    <n v="5.2"/>
    <n v="2.2999999999999998"/>
    <s v="Iris-virginica"/>
    <n v="20.100000000000001"/>
    <n v="11.959999999999999"/>
    <x v="1"/>
  </r>
  <r>
    <n v="147"/>
    <n v="6.3"/>
    <n v="2.5"/>
    <n v="5"/>
    <n v="1.9"/>
    <s v="Iris-virginica"/>
    <n v="15.75"/>
    <n v="9.5"/>
    <x v="1"/>
  </r>
  <r>
    <n v="148"/>
    <n v="6.5"/>
    <n v="3"/>
    <n v="5.2"/>
    <n v="2"/>
    <s v="Iris-virginica"/>
    <n v="19.5"/>
    <n v="10.4"/>
    <x v="1"/>
  </r>
  <r>
    <n v="149"/>
    <n v="6.2"/>
    <n v="3.4"/>
    <n v="5.4"/>
    <n v="2.2999999999999998"/>
    <s v="Iris-virginica"/>
    <n v="21.08"/>
    <n v="12.42"/>
    <x v="1"/>
  </r>
  <r>
    <n v="150"/>
    <n v="5.9"/>
    <n v="3"/>
    <n v="5.0999999999999996"/>
    <n v="1.8"/>
    <s v="Iris-virginica"/>
    <n v="17.700000000000003"/>
    <n v="9.1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Tableau croisé dynamique2"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9">
  <location ref="A3:B7" firstHeaderRow="1" firstDataRow="1" firstDataCol="1"/>
  <pivotFields count="9">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s>
  <rowFields count="1">
    <field x="5"/>
  </rowFields>
  <rowItems count="4">
    <i>
      <x/>
    </i>
    <i>
      <x v="1"/>
    </i>
    <i>
      <x v="2"/>
    </i>
    <i t="grand">
      <x/>
    </i>
  </rowItems>
  <colItems count="1">
    <i/>
  </colItems>
  <dataFields count="1">
    <dataField name="Moyenne de SepalLengthCm" fld="1" subtotal="average" baseField="5" baseItem="0"/>
  </dataFields>
  <chartFormats count="2">
    <chartFormat chart="4"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eau croisé dynamique4" cacheId="1"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9">
  <location ref="A3:B7" firstHeaderRow="1" firstDataRow="1" firstDataCol="1"/>
  <pivotFields count="9">
    <pivotField showAll="0"/>
    <pivotField showAll="0"/>
    <pivotField dataField="1" showAll="0"/>
    <pivotField showAll="0"/>
    <pivotField showAll="0"/>
    <pivotField axis="axisRow" showAll="0">
      <items count="4">
        <item x="0"/>
        <item x="1"/>
        <item x="2"/>
        <item t="default"/>
      </items>
    </pivotField>
    <pivotField showAll="0"/>
    <pivotField showAll="0"/>
    <pivotField showAll="0"/>
  </pivotFields>
  <rowFields count="1">
    <field x="5"/>
  </rowFields>
  <rowItems count="4">
    <i>
      <x/>
    </i>
    <i>
      <x v="1"/>
    </i>
    <i>
      <x v="2"/>
    </i>
    <i t="grand">
      <x/>
    </i>
  </rowItems>
  <colItems count="1">
    <i/>
  </colItems>
  <dataFields count="1">
    <dataField name="Moyenne de SepalWidthCm" fld="2" subtotal="average" baseField="5" baseItem="0"/>
  </dataFields>
  <chartFormats count="2">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leau croisé dynamique6" cacheId="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3">
  <location ref="A3:B7" firstHeaderRow="1" firstDataRow="1" firstDataCol="1"/>
  <pivotFields count="9">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8"/>
  </rowFields>
  <rowItems count="4">
    <i>
      <x/>
    </i>
    <i>
      <x v="1"/>
    </i>
    <i>
      <x v="2"/>
    </i>
    <i t="grand">
      <x/>
    </i>
  </rowItems>
  <colItems count="1">
    <i/>
  </colItems>
  <dataFields count="1">
    <dataField name="Nombre de Id" fld="0" subtotal="count" baseField="0" baseItem="530324568"/>
  </dataFields>
  <chartFormats count="8">
    <chartFormat chart="0"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leau croisé dynamique8" cacheId="3"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4">
  <location ref="A3:E8" firstHeaderRow="1" firstDataRow="2" firstDataCol="1"/>
  <pivotFields count="9">
    <pivotField dataField="1" showAll="0"/>
    <pivotField showAll="0"/>
    <pivotField showAll="0"/>
    <pivotField showAll="0"/>
    <pivotField showAll="0"/>
    <pivotField axis="axisRow" showAll="0">
      <items count="4">
        <item x="0"/>
        <item x="1"/>
        <item x="2"/>
        <item t="default"/>
      </items>
    </pivotField>
    <pivotField showAll="0"/>
    <pivotField showAll="0"/>
    <pivotField axis="axisCol" showAll="0">
      <items count="4">
        <item x="1"/>
        <item x="2"/>
        <item x="0"/>
        <item t="default"/>
      </items>
    </pivotField>
  </pivotFields>
  <rowFields count="1">
    <field x="5"/>
  </rowFields>
  <rowItems count="4">
    <i>
      <x/>
    </i>
    <i>
      <x v="1"/>
    </i>
    <i>
      <x v="2"/>
    </i>
    <i t="grand">
      <x/>
    </i>
  </rowItems>
  <colFields count="1">
    <field x="8"/>
  </colFields>
  <colItems count="4">
    <i>
      <x/>
    </i>
    <i>
      <x v="1"/>
    </i>
    <i>
      <x v="2"/>
    </i>
    <i t="grand">
      <x/>
    </i>
  </colItems>
  <dataFields count="1">
    <dataField name="Nombre de Id" fld="0" subtotal="count" baseField="0" baseItem="516498632"/>
  </dataFields>
  <chartFormats count="6">
    <chartFormat chart="1" format="3" series="1">
      <pivotArea type="data" outline="0" fieldPosition="0">
        <references count="2">
          <reference field="4294967294" count="1" selected="0">
            <x v="0"/>
          </reference>
          <reference field="8" count="1" selected="0">
            <x v="0"/>
          </reference>
        </references>
      </pivotArea>
    </chartFormat>
    <chartFormat chart="1" format="4" series="1">
      <pivotArea type="data" outline="0" fieldPosition="0">
        <references count="2">
          <reference field="4294967294" count="1" selected="0">
            <x v="0"/>
          </reference>
          <reference field="8" count="1" selected="0">
            <x v="1"/>
          </reference>
        </references>
      </pivotArea>
    </chartFormat>
    <chartFormat chart="1" format="5" series="1">
      <pivotArea type="data" outline="0" fieldPosition="0">
        <references count="2">
          <reference field="4294967294" count="1" selected="0">
            <x v="0"/>
          </reference>
          <reference field="8" count="1" selected="0">
            <x v="2"/>
          </reference>
        </references>
      </pivotArea>
    </chartFormat>
    <chartFormat chart="3" format="9" series="1">
      <pivotArea type="data" outline="0" fieldPosition="0">
        <references count="2">
          <reference field="4294967294" count="1" selected="0">
            <x v="0"/>
          </reference>
          <reference field="8" count="1" selected="0">
            <x v="0"/>
          </reference>
        </references>
      </pivotArea>
    </chartFormat>
    <chartFormat chart="3" format="10" series="1">
      <pivotArea type="data" outline="0" fieldPosition="0">
        <references count="2">
          <reference field="4294967294" count="1" selected="0">
            <x v="0"/>
          </reference>
          <reference field="8" count="1" selected="0">
            <x v="1"/>
          </reference>
        </references>
      </pivotArea>
    </chartFormat>
    <chartFormat chart="3" format="11"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eau croisé dynamique10" cacheId="4"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3">
  <location ref="A3:B7" firstHeaderRow="1" firstDataRow="1" firstDataCol="1"/>
  <pivotFields count="9">
    <pivotField showAll="0"/>
    <pivotField showAll="0"/>
    <pivotField showAll="0"/>
    <pivotField dataField="1" showAll="0"/>
    <pivotField showAll="0"/>
    <pivotField showAll="0"/>
    <pivotField showAll="0"/>
    <pivotField showAll="0"/>
    <pivotField axis="axisRow" showAll="0">
      <items count="4">
        <item x="1"/>
        <item x="2"/>
        <item x="0"/>
        <item t="default"/>
      </items>
    </pivotField>
  </pivotFields>
  <rowFields count="1">
    <field x="8"/>
  </rowFields>
  <rowItems count="4">
    <i>
      <x/>
    </i>
    <i>
      <x v="1"/>
    </i>
    <i>
      <x v="2"/>
    </i>
    <i t="grand">
      <x/>
    </i>
  </rowItems>
  <colItems count="1">
    <i/>
  </colItems>
  <dataFields count="1">
    <dataField name="Moyenne de PetalLengthCm" fld="3" subtotal="average" baseField="0" baseItem="474568192"/>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C12" sqref="C12"/>
    </sheetView>
  </sheetViews>
  <sheetFormatPr baseColWidth="10" defaultRowHeight="14.5" x14ac:dyDescent="0.35"/>
  <cols>
    <col min="1" max="1" width="19.54296875" customWidth="1"/>
    <col min="2" max="2" width="24.7265625" bestFit="1" customWidth="1"/>
  </cols>
  <sheetData>
    <row r="3" spans="1:2" x14ac:dyDescent="0.35">
      <c r="A3" s="19" t="s">
        <v>33</v>
      </c>
      <c r="B3" t="s">
        <v>37</v>
      </c>
    </row>
    <row r="4" spans="1:2" x14ac:dyDescent="0.35">
      <c r="A4" s="14" t="s">
        <v>0</v>
      </c>
      <c r="B4" s="18">
        <v>5.0059999999999993</v>
      </c>
    </row>
    <row r="5" spans="1:2" x14ac:dyDescent="0.35">
      <c r="A5" s="14" t="s">
        <v>1</v>
      </c>
      <c r="B5" s="18">
        <v>5.9359999999999999</v>
      </c>
    </row>
    <row r="6" spans="1:2" x14ac:dyDescent="0.35">
      <c r="A6" s="14" t="s">
        <v>2</v>
      </c>
      <c r="B6" s="18">
        <v>6.5879999999999983</v>
      </c>
    </row>
    <row r="7" spans="1:2" x14ac:dyDescent="0.35">
      <c r="A7" s="14" t="s">
        <v>34</v>
      </c>
      <c r="B7" s="18">
        <v>5.8433333333333346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15" sqref="F15"/>
    </sheetView>
  </sheetViews>
  <sheetFormatPr baseColWidth="10" defaultRowHeight="14.5" x14ac:dyDescent="0.35"/>
  <cols>
    <col min="1" max="1" width="19.54296875" customWidth="1"/>
    <col min="2" max="2" width="24.26953125" bestFit="1" customWidth="1"/>
  </cols>
  <sheetData>
    <row r="3" spans="1:2" x14ac:dyDescent="0.35">
      <c r="A3" s="19" t="s">
        <v>33</v>
      </c>
      <c r="B3" t="s">
        <v>38</v>
      </c>
    </row>
    <row r="4" spans="1:2" x14ac:dyDescent="0.35">
      <c r="A4" s="14" t="s">
        <v>0</v>
      </c>
      <c r="B4" s="18">
        <v>3.4180000000000006</v>
      </c>
    </row>
    <row r="5" spans="1:2" x14ac:dyDescent="0.35">
      <c r="A5" s="14" t="s">
        <v>1</v>
      </c>
      <c r="B5" s="18">
        <v>2.7700000000000005</v>
      </c>
    </row>
    <row r="6" spans="1:2" x14ac:dyDescent="0.35">
      <c r="A6" s="14" t="s">
        <v>2</v>
      </c>
      <c r="B6" s="18">
        <v>2.9739999999999998</v>
      </c>
    </row>
    <row r="7" spans="1:2" x14ac:dyDescent="0.35">
      <c r="A7" s="14" t="s">
        <v>34</v>
      </c>
      <c r="B7" s="18">
        <v>3.0540000000000007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baseColWidth="10" defaultRowHeight="14.5" x14ac:dyDescent="0.35"/>
  <cols>
    <col min="1" max="1" width="19.54296875" bestFit="1" customWidth="1"/>
    <col min="2" max="2" width="12.26953125" bestFit="1" customWidth="1"/>
  </cols>
  <sheetData>
    <row r="3" spans="1:2" x14ac:dyDescent="0.35">
      <c r="A3" s="19" t="s">
        <v>33</v>
      </c>
      <c r="B3" t="s">
        <v>36</v>
      </c>
    </row>
    <row r="4" spans="1:2" x14ac:dyDescent="0.35">
      <c r="A4" s="14" t="s">
        <v>35</v>
      </c>
      <c r="B4" s="18">
        <v>87</v>
      </c>
    </row>
    <row r="5" spans="1:2" x14ac:dyDescent="0.35">
      <c r="A5" s="14" t="s">
        <v>15</v>
      </c>
      <c r="B5" s="18">
        <v>13</v>
      </c>
    </row>
    <row r="6" spans="1:2" x14ac:dyDescent="0.35">
      <c r="A6" s="14" t="s">
        <v>25</v>
      </c>
      <c r="B6" s="18">
        <v>50</v>
      </c>
    </row>
    <row r="7" spans="1:2" x14ac:dyDescent="0.35">
      <c r="A7" s="14" t="s">
        <v>34</v>
      </c>
      <c r="B7" s="18">
        <v>150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topLeftCell="B1" workbookViewId="0">
      <selection activeCell="F20" sqref="F20"/>
    </sheetView>
  </sheetViews>
  <sheetFormatPr baseColWidth="10" defaultRowHeight="14.5" x14ac:dyDescent="0.35"/>
  <cols>
    <col min="1" max="1" width="19.54296875" bestFit="1" customWidth="1"/>
    <col min="2" max="2" width="22.26953125" bestFit="1" customWidth="1"/>
    <col min="3" max="3" width="14.453125" customWidth="1"/>
    <col min="4" max="4" width="8.36328125" customWidth="1"/>
    <col min="5" max="5" width="18.90625" customWidth="1"/>
  </cols>
  <sheetData>
    <row r="3" spans="1:5" x14ac:dyDescent="0.35">
      <c r="A3" s="19" t="s">
        <v>36</v>
      </c>
      <c r="B3" s="19" t="s">
        <v>41</v>
      </c>
    </row>
    <row r="4" spans="1:5" x14ac:dyDescent="0.35">
      <c r="A4" s="19" t="s">
        <v>33</v>
      </c>
      <c r="B4" t="s">
        <v>35</v>
      </c>
      <c r="C4" t="s">
        <v>15</v>
      </c>
      <c r="D4" t="s">
        <v>25</v>
      </c>
      <c r="E4" t="s">
        <v>34</v>
      </c>
    </row>
    <row r="5" spans="1:5" x14ac:dyDescent="0.35">
      <c r="A5" s="14" t="s">
        <v>0</v>
      </c>
      <c r="B5" s="18"/>
      <c r="C5" s="18"/>
      <c r="D5" s="18">
        <v>50</v>
      </c>
      <c r="E5" s="18">
        <v>50</v>
      </c>
    </row>
    <row r="6" spans="1:5" x14ac:dyDescent="0.35">
      <c r="A6" s="14" t="s">
        <v>1</v>
      </c>
      <c r="B6" s="18">
        <v>37</v>
      </c>
      <c r="C6" s="18">
        <v>13</v>
      </c>
      <c r="D6" s="18"/>
      <c r="E6" s="18">
        <v>50</v>
      </c>
    </row>
    <row r="7" spans="1:5" x14ac:dyDescent="0.35">
      <c r="A7" s="14" t="s">
        <v>2</v>
      </c>
      <c r="B7" s="18">
        <v>50</v>
      </c>
      <c r="C7" s="18"/>
      <c r="D7" s="18"/>
      <c r="E7" s="18">
        <v>50</v>
      </c>
    </row>
    <row r="8" spans="1:5" x14ac:dyDescent="0.35">
      <c r="A8" s="14" t="s">
        <v>34</v>
      </c>
      <c r="B8" s="18">
        <v>87</v>
      </c>
      <c r="C8" s="18">
        <v>13</v>
      </c>
      <c r="D8" s="18">
        <v>50</v>
      </c>
      <c r="E8" s="18">
        <v>150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baseColWidth="10" defaultRowHeight="14.5" x14ac:dyDescent="0.35"/>
  <cols>
    <col min="1" max="1" width="19.54296875" customWidth="1"/>
    <col min="2" max="2" width="24.54296875" bestFit="1" customWidth="1"/>
  </cols>
  <sheetData>
    <row r="3" spans="1:2" x14ac:dyDescent="0.35">
      <c r="A3" s="19" t="s">
        <v>33</v>
      </c>
      <c r="B3" t="s">
        <v>43</v>
      </c>
    </row>
    <row r="4" spans="1:2" x14ac:dyDescent="0.35">
      <c r="A4" s="14" t="s">
        <v>35</v>
      </c>
      <c r="B4" s="18">
        <v>5.0919540229885056</v>
      </c>
    </row>
    <row r="5" spans="1:2" x14ac:dyDescent="0.35">
      <c r="A5" s="14" t="s">
        <v>15</v>
      </c>
      <c r="B5" s="18">
        <v>3.661538461538461</v>
      </c>
    </row>
    <row r="6" spans="1:2" x14ac:dyDescent="0.35">
      <c r="A6" s="14" t="s">
        <v>25</v>
      </c>
      <c r="B6" s="18">
        <v>1.464</v>
      </c>
    </row>
    <row r="7" spans="1:2" x14ac:dyDescent="0.35">
      <c r="A7" s="14" t="s">
        <v>34</v>
      </c>
      <c r="B7" s="18">
        <v>3.7586666666666648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1"/>
  <sheetViews>
    <sheetView topLeftCell="A24" workbookViewId="0">
      <selection activeCell="I21" sqref="I21"/>
    </sheetView>
  </sheetViews>
  <sheetFormatPr baseColWidth="10" defaultColWidth="8.7265625" defaultRowHeight="14.5" x14ac:dyDescent="0.35"/>
  <cols>
    <col min="2" max="2" width="13.54296875" customWidth="1"/>
    <col min="3" max="3" width="12.90625" customWidth="1"/>
    <col min="4" max="4" width="16.1796875" customWidth="1"/>
    <col min="5" max="5" width="19.453125" customWidth="1"/>
    <col min="6" max="6" width="15.7265625" customWidth="1"/>
    <col min="8" max="8" width="15.1796875" customWidth="1"/>
    <col min="9" max="9" width="20.6328125" customWidth="1"/>
  </cols>
  <sheetData>
    <row r="1" spans="1:11" x14ac:dyDescent="0.35">
      <c r="A1" s="1" t="s">
        <v>3</v>
      </c>
      <c r="B1" t="s">
        <v>4</v>
      </c>
      <c r="C1" t="s">
        <v>5</v>
      </c>
      <c r="D1" t="s">
        <v>6</v>
      </c>
      <c r="E1" t="s">
        <v>7</v>
      </c>
      <c r="F1" t="s">
        <v>8</v>
      </c>
      <c r="G1" t="s">
        <v>9</v>
      </c>
      <c r="H1" t="s">
        <v>10</v>
      </c>
      <c r="I1" t="s">
        <v>11</v>
      </c>
    </row>
    <row r="2" spans="1:11" x14ac:dyDescent="0.35">
      <c r="A2">
        <v>1</v>
      </c>
      <c r="B2">
        <v>5.0999999999999996</v>
      </c>
      <c r="C2">
        <v>3.5</v>
      </c>
      <c r="D2">
        <v>1.4</v>
      </c>
      <c r="E2">
        <v>0.2</v>
      </c>
      <c r="F2" s="8" t="s">
        <v>0</v>
      </c>
      <c r="G2">
        <f>B2*C2</f>
        <v>17.849999999999998</v>
      </c>
      <c r="H2">
        <f>D2*E2</f>
        <v>0.27999999999999997</v>
      </c>
      <c r="I2" t="str">
        <f>IF(H2&lt;2,"Petite",IF(H2&lt;5,"Moyenne","Grande"))</f>
        <v>Petite</v>
      </c>
    </row>
    <row r="3" spans="1:11" x14ac:dyDescent="0.35">
      <c r="A3">
        <v>2</v>
      </c>
      <c r="B3">
        <v>4.9000000000000004</v>
      </c>
      <c r="C3">
        <v>3</v>
      </c>
      <c r="D3">
        <v>1.4</v>
      </c>
      <c r="E3">
        <v>0.2</v>
      </c>
      <c r="F3" s="8" t="s">
        <v>0</v>
      </c>
      <c r="G3">
        <f>B3*C3</f>
        <v>14.700000000000001</v>
      </c>
      <c r="H3">
        <f t="shared" ref="H3:H66" si="0">D3*E3</f>
        <v>0.27999999999999997</v>
      </c>
      <c r="I3" t="str">
        <f t="shared" ref="I3:I66" si="1">IF(H3&lt;2,"Petite",IF(H3&lt;5,"Moyenne","Grande"))</f>
        <v>Petite</v>
      </c>
    </row>
    <row r="4" spans="1:11" x14ac:dyDescent="0.35">
      <c r="A4">
        <v>3</v>
      </c>
      <c r="B4">
        <v>4.7</v>
      </c>
      <c r="C4">
        <v>3.2</v>
      </c>
      <c r="D4">
        <v>1.3</v>
      </c>
      <c r="E4">
        <v>0.2</v>
      </c>
      <c r="F4" s="8" t="s">
        <v>0</v>
      </c>
      <c r="G4">
        <f>B4*C4</f>
        <v>15.040000000000001</v>
      </c>
      <c r="H4">
        <f t="shared" si="0"/>
        <v>0.26</v>
      </c>
      <c r="I4" t="str">
        <f t="shared" si="1"/>
        <v>Petite</v>
      </c>
    </row>
    <row r="5" spans="1:11" x14ac:dyDescent="0.35">
      <c r="A5">
        <v>4</v>
      </c>
      <c r="B5">
        <v>4.5999999999999996</v>
      </c>
      <c r="C5">
        <v>3.1</v>
      </c>
      <c r="D5">
        <v>1.5</v>
      </c>
      <c r="E5">
        <v>0.2</v>
      </c>
      <c r="F5" s="8" t="s">
        <v>0</v>
      </c>
      <c r="G5">
        <f>B5*C5</f>
        <v>14.26</v>
      </c>
      <c r="H5">
        <f t="shared" si="0"/>
        <v>0.30000000000000004</v>
      </c>
      <c r="I5" t="str">
        <f t="shared" si="1"/>
        <v>Petite</v>
      </c>
      <c r="K5">
        <f>CORREL(B2:B151,C2:C151)</f>
        <v>-0.10936924995064935</v>
      </c>
    </row>
    <row r="6" spans="1:11" x14ac:dyDescent="0.35">
      <c r="A6">
        <v>5</v>
      </c>
      <c r="B6">
        <v>5</v>
      </c>
      <c r="C6">
        <v>3.6</v>
      </c>
      <c r="D6">
        <v>1.4</v>
      </c>
      <c r="E6">
        <v>0.2</v>
      </c>
      <c r="F6" s="8" t="s">
        <v>0</v>
      </c>
      <c r="G6">
        <f>B6*C6</f>
        <v>18</v>
      </c>
      <c r="H6">
        <f t="shared" si="0"/>
        <v>0.27999999999999997</v>
      </c>
      <c r="I6" t="str">
        <f t="shared" si="1"/>
        <v>Petite</v>
      </c>
    </row>
    <row r="7" spans="1:11" x14ac:dyDescent="0.35">
      <c r="A7">
        <v>6</v>
      </c>
      <c r="B7">
        <v>5.4</v>
      </c>
      <c r="C7">
        <v>3.9</v>
      </c>
      <c r="D7">
        <v>1.7</v>
      </c>
      <c r="E7">
        <v>0.4</v>
      </c>
      <c r="F7" s="8" t="s">
        <v>0</v>
      </c>
      <c r="G7">
        <f>B7*C7</f>
        <v>21.060000000000002</v>
      </c>
      <c r="H7">
        <f t="shared" si="0"/>
        <v>0.68</v>
      </c>
      <c r="I7" t="str">
        <f t="shared" si="1"/>
        <v>Petite</v>
      </c>
    </row>
    <row r="8" spans="1:11" x14ac:dyDescent="0.35">
      <c r="A8">
        <v>7</v>
      </c>
      <c r="B8">
        <v>4.5999999999999996</v>
      </c>
      <c r="C8">
        <v>3.4</v>
      </c>
      <c r="D8">
        <v>1.4</v>
      </c>
      <c r="E8">
        <v>0.3</v>
      </c>
      <c r="F8" s="8" t="s">
        <v>0</v>
      </c>
      <c r="G8">
        <f>B8*C8</f>
        <v>15.639999999999999</v>
      </c>
      <c r="H8">
        <f t="shared" si="0"/>
        <v>0.42</v>
      </c>
      <c r="I8" t="str">
        <f t="shared" si="1"/>
        <v>Petite</v>
      </c>
    </row>
    <row r="9" spans="1:11" x14ac:dyDescent="0.35">
      <c r="A9">
        <v>8</v>
      </c>
      <c r="B9">
        <v>5</v>
      </c>
      <c r="C9">
        <v>3.4</v>
      </c>
      <c r="D9">
        <v>1.5</v>
      </c>
      <c r="E9">
        <v>0.2</v>
      </c>
      <c r="F9" s="8" t="s">
        <v>0</v>
      </c>
      <c r="G9">
        <f>B9*C9</f>
        <v>17</v>
      </c>
      <c r="H9">
        <f t="shared" si="0"/>
        <v>0.30000000000000004</v>
      </c>
      <c r="I9" t="str">
        <f t="shared" si="1"/>
        <v>Petite</v>
      </c>
    </row>
    <row r="10" spans="1:11" x14ac:dyDescent="0.35">
      <c r="A10">
        <v>9</v>
      </c>
      <c r="B10">
        <v>4.4000000000000004</v>
      </c>
      <c r="C10">
        <v>2.9</v>
      </c>
      <c r="D10">
        <v>1.4</v>
      </c>
      <c r="E10">
        <v>0.2</v>
      </c>
      <c r="F10" s="8" t="s">
        <v>0</v>
      </c>
      <c r="G10">
        <f>B10*C10</f>
        <v>12.76</v>
      </c>
      <c r="H10">
        <f t="shared" si="0"/>
        <v>0.27999999999999997</v>
      </c>
      <c r="I10" t="str">
        <f t="shared" si="1"/>
        <v>Petite</v>
      </c>
    </row>
    <row r="11" spans="1:11" x14ac:dyDescent="0.35">
      <c r="A11">
        <v>10</v>
      </c>
      <c r="B11">
        <v>4.9000000000000004</v>
      </c>
      <c r="C11">
        <v>3.1</v>
      </c>
      <c r="D11">
        <v>1.5</v>
      </c>
      <c r="E11">
        <v>0.1</v>
      </c>
      <c r="F11" s="8" t="s">
        <v>0</v>
      </c>
      <c r="G11">
        <f>B11*C11</f>
        <v>15.190000000000001</v>
      </c>
      <c r="H11">
        <f t="shared" si="0"/>
        <v>0.15000000000000002</v>
      </c>
      <c r="I11" t="str">
        <f t="shared" si="1"/>
        <v>Petite</v>
      </c>
    </row>
    <row r="12" spans="1:11" x14ac:dyDescent="0.35">
      <c r="A12">
        <v>11</v>
      </c>
      <c r="B12">
        <v>5.4</v>
      </c>
      <c r="C12">
        <v>3.7</v>
      </c>
      <c r="D12">
        <v>1.5</v>
      </c>
      <c r="E12">
        <v>0.2</v>
      </c>
      <c r="F12" s="8" t="s">
        <v>0</v>
      </c>
      <c r="G12">
        <f>B12*C12</f>
        <v>19.980000000000004</v>
      </c>
      <c r="H12">
        <f t="shared" si="0"/>
        <v>0.30000000000000004</v>
      </c>
      <c r="I12" t="str">
        <f t="shared" si="1"/>
        <v>Petite</v>
      </c>
    </row>
    <row r="13" spans="1:11" x14ac:dyDescent="0.35">
      <c r="A13">
        <v>12</v>
      </c>
      <c r="B13">
        <v>4.8</v>
      </c>
      <c r="C13">
        <v>3.4</v>
      </c>
      <c r="D13">
        <v>1.6</v>
      </c>
      <c r="E13">
        <v>0.2</v>
      </c>
      <c r="F13" s="8" t="s">
        <v>0</v>
      </c>
      <c r="G13">
        <f>B13*C13</f>
        <v>16.32</v>
      </c>
      <c r="H13">
        <f t="shared" si="0"/>
        <v>0.32000000000000006</v>
      </c>
      <c r="I13" t="str">
        <f t="shared" si="1"/>
        <v>Petite</v>
      </c>
    </row>
    <row r="14" spans="1:11" x14ac:dyDescent="0.35">
      <c r="A14">
        <v>13</v>
      </c>
      <c r="B14">
        <v>4.8</v>
      </c>
      <c r="C14">
        <v>3</v>
      </c>
      <c r="D14">
        <v>1.4</v>
      </c>
      <c r="E14">
        <v>0.1</v>
      </c>
      <c r="F14" s="8" t="s">
        <v>0</v>
      </c>
      <c r="G14">
        <f>B14*C14</f>
        <v>14.399999999999999</v>
      </c>
      <c r="H14">
        <f t="shared" si="0"/>
        <v>0.13999999999999999</v>
      </c>
      <c r="I14" t="str">
        <f t="shared" si="1"/>
        <v>Petite</v>
      </c>
    </row>
    <row r="15" spans="1:11" x14ac:dyDescent="0.35">
      <c r="A15">
        <v>14</v>
      </c>
      <c r="B15">
        <v>4.3</v>
      </c>
      <c r="C15">
        <v>3</v>
      </c>
      <c r="D15">
        <v>1.1000000000000001</v>
      </c>
      <c r="E15">
        <v>0.1</v>
      </c>
      <c r="F15" s="8" t="s">
        <v>0</v>
      </c>
      <c r="G15">
        <f>B15*C15</f>
        <v>12.899999999999999</v>
      </c>
      <c r="H15">
        <f t="shared" si="0"/>
        <v>0.11000000000000001</v>
      </c>
      <c r="I15" t="str">
        <f t="shared" si="1"/>
        <v>Petite</v>
      </c>
    </row>
    <row r="16" spans="1:11" x14ac:dyDescent="0.35">
      <c r="A16">
        <v>15</v>
      </c>
      <c r="B16">
        <v>5.8</v>
      </c>
      <c r="C16">
        <v>4</v>
      </c>
      <c r="D16">
        <v>1.2</v>
      </c>
      <c r="E16">
        <v>0.2</v>
      </c>
      <c r="F16" s="8" t="s">
        <v>0</v>
      </c>
      <c r="G16">
        <f>B16*C16</f>
        <v>23.2</v>
      </c>
      <c r="H16">
        <f t="shared" si="0"/>
        <v>0.24</v>
      </c>
      <c r="I16" t="str">
        <f t="shared" si="1"/>
        <v>Petite</v>
      </c>
    </row>
    <row r="17" spans="1:9" x14ac:dyDescent="0.35">
      <c r="A17">
        <v>16</v>
      </c>
      <c r="B17">
        <v>5.7</v>
      </c>
      <c r="C17">
        <v>4.4000000000000004</v>
      </c>
      <c r="D17">
        <v>1.5</v>
      </c>
      <c r="E17">
        <v>0.4</v>
      </c>
      <c r="F17" s="8" t="s">
        <v>0</v>
      </c>
      <c r="G17">
        <f>B17*C17</f>
        <v>25.080000000000002</v>
      </c>
      <c r="H17">
        <f t="shared" si="0"/>
        <v>0.60000000000000009</v>
      </c>
      <c r="I17" t="str">
        <f t="shared" si="1"/>
        <v>Petite</v>
      </c>
    </row>
    <row r="18" spans="1:9" x14ac:dyDescent="0.35">
      <c r="A18">
        <v>17</v>
      </c>
      <c r="B18">
        <v>5.4</v>
      </c>
      <c r="C18">
        <v>3.9</v>
      </c>
      <c r="D18">
        <v>1.3</v>
      </c>
      <c r="E18">
        <v>0.4</v>
      </c>
      <c r="F18" s="8" t="s">
        <v>0</v>
      </c>
      <c r="G18">
        <f>B18*C18</f>
        <v>21.060000000000002</v>
      </c>
      <c r="H18">
        <f t="shared" si="0"/>
        <v>0.52</v>
      </c>
      <c r="I18" t="str">
        <f t="shared" si="1"/>
        <v>Petite</v>
      </c>
    </row>
    <row r="19" spans="1:9" x14ac:dyDescent="0.35">
      <c r="A19">
        <v>18</v>
      </c>
      <c r="B19">
        <v>5.0999999999999996</v>
      </c>
      <c r="C19">
        <v>3.5</v>
      </c>
      <c r="D19">
        <v>1.4</v>
      </c>
      <c r="E19">
        <v>0.3</v>
      </c>
      <c r="F19" s="8" t="s">
        <v>0</v>
      </c>
      <c r="G19">
        <f>B19*C19</f>
        <v>17.849999999999998</v>
      </c>
      <c r="H19">
        <f t="shared" si="0"/>
        <v>0.42</v>
      </c>
      <c r="I19" t="str">
        <f t="shared" si="1"/>
        <v>Petite</v>
      </c>
    </row>
    <row r="20" spans="1:9" x14ac:dyDescent="0.35">
      <c r="A20">
        <v>19</v>
      </c>
      <c r="B20">
        <v>5.7</v>
      </c>
      <c r="C20">
        <v>3.8</v>
      </c>
      <c r="D20">
        <v>1.7</v>
      </c>
      <c r="E20">
        <v>0.3</v>
      </c>
      <c r="F20" s="8" t="s">
        <v>0</v>
      </c>
      <c r="G20">
        <f>B20*C20</f>
        <v>21.66</v>
      </c>
      <c r="H20">
        <f t="shared" si="0"/>
        <v>0.51</v>
      </c>
      <c r="I20" t="str">
        <f>IF(H20&lt;2,"Petite",IF(H20&lt;5,"Moyenne","Grande"))</f>
        <v>Petite</v>
      </c>
    </row>
    <row r="21" spans="1:9" x14ac:dyDescent="0.35">
      <c r="A21">
        <v>20</v>
      </c>
      <c r="B21">
        <v>5.0999999999999996</v>
      </c>
      <c r="C21">
        <v>3.8</v>
      </c>
      <c r="D21">
        <v>1.5</v>
      </c>
      <c r="E21">
        <v>0.3</v>
      </c>
      <c r="F21" s="8" t="s">
        <v>0</v>
      </c>
      <c r="G21">
        <f>B21*C21</f>
        <v>19.38</v>
      </c>
      <c r="H21">
        <f t="shared" si="0"/>
        <v>0.44999999999999996</v>
      </c>
      <c r="I21" t="str">
        <f t="shared" si="1"/>
        <v>Petite</v>
      </c>
    </row>
    <row r="22" spans="1:9" x14ac:dyDescent="0.35">
      <c r="A22">
        <v>21</v>
      </c>
      <c r="B22">
        <v>5.4</v>
      </c>
      <c r="C22">
        <v>3.4</v>
      </c>
      <c r="D22">
        <v>1.7</v>
      </c>
      <c r="E22">
        <v>0.2</v>
      </c>
      <c r="F22" s="8" t="s">
        <v>0</v>
      </c>
      <c r="G22">
        <f>B22*C22</f>
        <v>18.36</v>
      </c>
      <c r="H22">
        <f t="shared" si="0"/>
        <v>0.34</v>
      </c>
      <c r="I22" t="str">
        <f t="shared" si="1"/>
        <v>Petite</v>
      </c>
    </row>
    <row r="23" spans="1:9" x14ac:dyDescent="0.35">
      <c r="A23">
        <v>22</v>
      </c>
      <c r="B23">
        <v>5.0999999999999996</v>
      </c>
      <c r="C23">
        <v>3.7</v>
      </c>
      <c r="D23">
        <v>1.5</v>
      </c>
      <c r="E23">
        <v>0.4</v>
      </c>
      <c r="F23" s="8" t="s">
        <v>0</v>
      </c>
      <c r="G23">
        <f>B23*C23</f>
        <v>18.87</v>
      </c>
      <c r="H23">
        <f t="shared" si="0"/>
        <v>0.60000000000000009</v>
      </c>
      <c r="I23" t="str">
        <f t="shared" si="1"/>
        <v>Petite</v>
      </c>
    </row>
    <row r="24" spans="1:9" x14ac:dyDescent="0.35">
      <c r="A24">
        <v>23</v>
      </c>
      <c r="B24">
        <v>4.5999999999999996</v>
      </c>
      <c r="C24">
        <v>3.6</v>
      </c>
      <c r="D24">
        <v>1</v>
      </c>
      <c r="E24">
        <v>0.2</v>
      </c>
      <c r="F24" s="8" t="s">
        <v>0</v>
      </c>
      <c r="G24">
        <f>B24*C24</f>
        <v>16.559999999999999</v>
      </c>
      <c r="H24">
        <f t="shared" si="0"/>
        <v>0.2</v>
      </c>
      <c r="I24" t="str">
        <f t="shared" si="1"/>
        <v>Petite</v>
      </c>
    </row>
    <row r="25" spans="1:9" x14ac:dyDescent="0.35">
      <c r="A25">
        <v>24</v>
      </c>
      <c r="B25">
        <v>5.0999999999999996</v>
      </c>
      <c r="C25">
        <v>3.3</v>
      </c>
      <c r="D25">
        <v>1.7</v>
      </c>
      <c r="E25">
        <v>0.5</v>
      </c>
      <c r="F25" s="8" t="s">
        <v>0</v>
      </c>
      <c r="G25">
        <f>B25*C25</f>
        <v>16.829999999999998</v>
      </c>
      <c r="H25">
        <f t="shared" si="0"/>
        <v>0.85</v>
      </c>
      <c r="I25" t="str">
        <f t="shared" si="1"/>
        <v>Petite</v>
      </c>
    </row>
    <row r="26" spans="1:9" x14ac:dyDescent="0.35">
      <c r="A26">
        <v>25</v>
      </c>
      <c r="B26">
        <v>4.8</v>
      </c>
      <c r="C26">
        <v>3.4</v>
      </c>
      <c r="D26">
        <v>1.9</v>
      </c>
      <c r="E26">
        <v>0.2</v>
      </c>
      <c r="F26" s="8" t="s">
        <v>0</v>
      </c>
      <c r="G26">
        <f>B26*C26</f>
        <v>16.32</v>
      </c>
      <c r="H26">
        <f t="shared" si="0"/>
        <v>0.38</v>
      </c>
      <c r="I26" t="str">
        <f t="shared" si="1"/>
        <v>Petite</v>
      </c>
    </row>
    <row r="27" spans="1:9" x14ac:dyDescent="0.35">
      <c r="A27">
        <v>26</v>
      </c>
      <c r="B27">
        <v>5</v>
      </c>
      <c r="C27">
        <v>3</v>
      </c>
      <c r="D27">
        <v>1.6</v>
      </c>
      <c r="E27">
        <v>0.2</v>
      </c>
      <c r="F27" s="8" t="s">
        <v>0</v>
      </c>
      <c r="G27">
        <f>B27*C27</f>
        <v>15</v>
      </c>
      <c r="H27">
        <f t="shared" si="0"/>
        <v>0.32000000000000006</v>
      </c>
      <c r="I27" t="str">
        <f t="shared" si="1"/>
        <v>Petite</v>
      </c>
    </row>
    <row r="28" spans="1:9" x14ac:dyDescent="0.35">
      <c r="A28">
        <v>27</v>
      </c>
      <c r="B28">
        <v>5</v>
      </c>
      <c r="C28">
        <v>3.4</v>
      </c>
      <c r="D28">
        <v>1.6</v>
      </c>
      <c r="E28">
        <v>0.4</v>
      </c>
      <c r="F28" s="8" t="s">
        <v>0</v>
      </c>
      <c r="G28">
        <f>B28*C28</f>
        <v>17</v>
      </c>
      <c r="H28">
        <f t="shared" si="0"/>
        <v>0.64000000000000012</v>
      </c>
      <c r="I28" t="str">
        <f t="shared" si="1"/>
        <v>Petite</v>
      </c>
    </row>
    <row r="29" spans="1:9" x14ac:dyDescent="0.35">
      <c r="A29">
        <v>28</v>
      </c>
      <c r="B29">
        <v>5.2</v>
      </c>
      <c r="C29">
        <v>3.5</v>
      </c>
      <c r="D29">
        <v>1.5</v>
      </c>
      <c r="E29">
        <v>0.2</v>
      </c>
      <c r="F29" s="8" t="s">
        <v>0</v>
      </c>
      <c r="G29">
        <f>B29*C29</f>
        <v>18.2</v>
      </c>
      <c r="H29">
        <f t="shared" si="0"/>
        <v>0.30000000000000004</v>
      </c>
      <c r="I29" t="str">
        <f t="shared" si="1"/>
        <v>Petite</v>
      </c>
    </row>
    <row r="30" spans="1:9" x14ac:dyDescent="0.35">
      <c r="A30">
        <v>29</v>
      </c>
      <c r="B30">
        <v>5.2</v>
      </c>
      <c r="C30">
        <v>3.4</v>
      </c>
      <c r="D30">
        <v>1.4</v>
      </c>
      <c r="E30">
        <v>0.2</v>
      </c>
      <c r="F30" s="8" t="s">
        <v>0</v>
      </c>
      <c r="G30">
        <f>B30*C30</f>
        <v>17.68</v>
      </c>
      <c r="H30">
        <f t="shared" si="0"/>
        <v>0.27999999999999997</v>
      </c>
      <c r="I30" t="str">
        <f t="shared" si="1"/>
        <v>Petite</v>
      </c>
    </row>
    <row r="31" spans="1:9" x14ac:dyDescent="0.35">
      <c r="A31">
        <v>30</v>
      </c>
      <c r="B31">
        <v>4.7</v>
      </c>
      <c r="C31">
        <v>3.2</v>
      </c>
      <c r="D31">
        <v>1.6</v>
      </c>
      <c r="E31">
        <v>0.2</v>
      </c>
      <c r="F31" s="8" t="s">
        <v>0</v>
      </c>
      <c r="G31">
        <f>B31*C31</f>
        <v>15.040000000000001</v>
      </c>
      <c r="H31">
        <f t="shared" si="0"/>
        <v>0.32000000000000006</v>
      </c>
      <c r="I31" t="str">
        <f t="shared" si="1"/>
        <v>Petite</v>
      </c>
    </row>
    <row r="32" spans="1:9" x14ac:dyDescent="0.35">
      <c r="A32">
        <v>31</v>
      </c>
      <c r="B32">
        <v>4.8</v>
      </c>
      <c r="C32">
        <v>3.1</v>
      </c>
      <c r="D32">
        <v>1.6</v>
      </c>
      <c r="E32">
        <v>0.2</v>
      </c>
      <c r="F32" s="8" t="s">
        <v>0</v>
      </c>
      <c r="G32">
        <f>B32*C32</f>
        <v>14.879999999999999</v>
      </c>
      <c r="H32">
        <f t="shared" si="0"/>
        <v>0.32000000000000006</v>
      </c>
      <c r="I32" t="str">
        <f t="shared" si="1"/>
        <v>Petite</v>
      </c>
    </row>
    <row r="33" spans="1:9" x14ac:dyDescent="0.35">
      <c r="A33">
        <v>32</v>
      </c>
      <c r="B33">
        <v>5.4</v>
      </c>
      <c r="C33">
        <v>3.4</v>
      </c>
      <c r="D33">
        <v>1.5</v>
      </c>
      <c r="E33">
        <v>0.4</v>
      </c>
      <c r="F33" s="8" t="s">
        <v>0</v>
      </c>
      <c r="G33">
        <f>B33*C33</f>
        <v>18.36</v>
      </c>
      <c r="H33">
        <f t="shared" si="0"/>
        <v>0.60000000000000009</v>
      </c>
      <c r="I33" t="str">
        <f t="shared" si="1"/>
        <v>Petite</v>
      </c>
    </row>
    <row r="34" spans="1:9" x14ac:dyDescent="0.35">
      <c r="A34">
        <v>33</v>
      </c>
      <c r="B34">
        <v>5.2</v>
      </c>
      <c r="C34">
        <v>4.0999999999999996</v>
      </c>
      <c r="D34">
        <v>1.5</v>
      </c>
      <c r="E34">
        <v>0.1</v>
      </c>
      <c r="F34" s="8" t="s">
        <v>0</v>
      </c>
      <c r="G34">
        <f>B34*C34</f>
        <v>21.32</v>
      </c>
      <c r="H34">
        <f t="shared" si="0"/>
        <v>0.15000000000000002</v>
      </c>
      <c r="I34" t="str">
        <f t="shared" si="1"/>
        <v>Petite</v>
      </c>
    </row>
    <row r="35" spans="1:9" x14ac:dyDescent="0.35">
      <c r="A35">
        <v>34</v>
      </c>
      <c r="B35">
        <v>5.5</v>
      </c>
      <c r="C35">
        <v>4.2</v>
      </c>
      <c r="D35">
        <v>1.4</v>
      </c>
      <c r="E35">
        <v>0.2</v>
      </c>
      <c r="F35" s="8" t="s">
        <v>0</v>
      </c>
      <c r="G35">
        <f>B35*C35</f>
        <v>23.1</v>
      </c>
      <c r="H35">
        <f t="shared" si="0"/>
        <v>0.27999999999999997</v>
      </c>
      <c r="I35" t="str">
        <f t="shared" si="1"/>
        <v>Petite</v>
      </c>
    </row>
    <row r="36" spans="1:9" x14ac:dyDescent="0.35">
      <c r="A36">
        <v>35</v>
      </c>
      <c r="B36">
        <v>4.9000000000000004</v>
      </c>
      <c r="C36">
        <v>3.1</v>
      </c>
      <c r="D36">
        <v>1.5</v>
      </c>
      <c r="E36">
        <v>0.1</v>
      </c>
      <c r="F36" s="8" t="s">
        <v>0</v>
      </c>
      <c r="G36">
        <f>B36*C36</f>
        <v>15.190000000000001</v>
      </c>
      <c r="H36">
        <f t="shared" si="0"/>
        <v>0.15000000000000002</v>
      </c>
      <c r="I36" t="str">
        <f t="shared" si="1"/>
        <v>Petite</v>
      </c>
    </row>
    <row r="37" spans="1:9" x14ac:dyDescent="0.35">
      <c r="A37">
        <v>36</v>
      </c>
      <c r="B37">
        <v>5</v>
      </c>
      <c r="C37">
        <v>3.2</v>
      </c>
      <c r="D37">
        <v>1.2</v>
      </c>
      <c r="E37">
        <v>0.2</v>
      </c>
      <c r="F37" s="8" t="s">
        <v>0</v>
      </c>
      <c r="G37">
        <f>B37*C37</f>
        <v>16</v>
      </c>
      <c r="H37">
        <f t="shared" si="0"/>
        <v>0.24</v>
      </c>
      <c r="I37" t="str">
        <f t="shared" si="1"/>
        <v>Petite</v>
      </c>
    </row>
    <row r="38" spans="1:9" x14ac:dyDescent="0.35">
      <c r="A38">
        <v>37</v>
      </c>
      <c r="B38">
        <v>5.5</v>
      </c>
      <c r="C38">
        <v>3.5</v>
      </c>
      <c r="D38">
        <v>1.3</v>
      </c>
      <c r="E38">
        <v>0.2</v>
      </c>
      <c r="F38" s="8" t="s">
        <v>0</v>
      </c>
      <c r="G38">
        <f>B38*C38</f>
        <v>19.25</v>
      </c>
      <c r="H38">
        <f t="shared" si="0"/>
        <v>0.26</v>
      </c>
      <c r="I38" t="str">
        <f t="shared" si="1"/>
        <v>Petite</v>
      </c>
    </row>
    <row r="39" spans="1:9" x14ac:dyDescent="0.35">
      <c r="A39">
        <v>38</v>
      </c>
      <c r="B39">
        <v>4.9000000000000004</v>
      </c>
      <c r="C39">
        <v>3.1</v>
      </c>
      <c r="D39">
        <v>1.5</v>
      </c>
      <c r="E39">
        <v>0.1</v>
      </c>
      <c r="F39" s="8" t="s">
        <v>0</v>
      </c>
      <c r="G39">
        <f>B39*C39</f>
        <v>15.190000000000001</v>
      </c>
      <c r="H39">
        <f t="shared" si="0"/>
        <v>0.15000000000000002</v>
      </c>
      <c r="I39" t="str">
        <f t="shared" si="1"/>
        <v>Petite</v>
      </c>
    </row>
    <row r="40" spans="1:9" x14ac:dyDescent="0.35">
      <c r="A40">
        <v>39</v>
      </c>
      <c r="B40">
        <v>4.4000000000000004</v>
      </c>
      <c r="C40">
        <v>3</v>
      </c>
      <c r="D40">
        <v>1.3</v>
      </c>
      <c r="E40">
        <v>0.2</v>
      </c>
      <c r="F40" s="8" t="s">
        <v>0</v>
      </c>
      <c r="G40">
        <f>B40*C40</f>
        <v>13.200000000000001</v>
      </c>
      <c r="H40">
        <f t="shared" si="0"/>
        <v>0.26</v>
      </c>
      <c r="I40" t="str">
        <f t="shared" si="1"/>
        <v>Petite</v>
      </c>
    </row>
    <row r="41" spans="1:9" x14ac:dyDescent="0.35">
      <c r="A41">
        <v>40</v>
      </c>
      <c r="B41">
        <v>5.0999999999999996</v>
      </c>
      <c r="C41">
        <v>3.4</v>
      </c>
      <c r="D41">
        <v>1.5</v>
      </c>
      <c r="E41">
        <v>0.2</v>
      </c>
      <c r="F41" s="8" t="s">
        <v>0</v>
      </c>
      <c r="G41">
        <f>B41*C41</f>
        <v>17.34</v>
      </c>
      <c r="H41">
        <f t="shared" si="0"/>
        <v>0.30000000000000004</v>
      </c>
      <c r="I41" t="str">
        <f t="shared" si="1"/>
        <v>Petite</v>
      </c>
    </row>
    <row r="42" spans="1:9" x14ac:dyDescent="0.35">
      <c r="A42">
        <v>41</v>
      </c>
      <c r="B42">
        <v>5</v>
      </c>
      <c r="C42">
        <v>3.5</v>
      </c>
      <c r="D42">
        <v>1.3</v>
      </c>
      <c r="E42">
        <v>0.3</v>
      </c>
      <c r="F42" s="8" t="s">
        <v>0</v>
      </c>
      <c r="G42">
        <f>B42*C42</f>
        <v>17.5</v>
      </c>
      <c r="H42">
        <f t="shared" si="0"/>
        <v>0.39</v>
      </c>
      <c r="I42" t="str">
        <f t="shared" si="1"/>
        <v>Petite</v>
      </c>
    </row>
    <row r="43" spans="1:9" x14ac:dyDescent="0.35">
      <c r="A43">
        <v>42</v>
      </c>
      <c r="B43">
        <v>4.5</v>
      </c>
      <c r="C43">
        <v>2.2999999999999998</v>
      </c>
      <c r="D43">
        <v>1.3</v>
      </c>
      <c r="E43">
        <v>0.3</v>
      </c>
      <c r="F43" s="8" t="s">
        <v>0</v>
      </c>
      <c r="G43">
        <f>B43*C43</f>
        <v>10.35</v>
      </c>
      <c r="H43">
        <f t="shared" si="0"/>
        <v>0.39</v>
      </c>
      <c r="I43" t="str">
        <f t="shared" si="1"/>
        <v>Petite</v>
      </c>
    </row>
    <row r="44" spans="1:9" x14ac:dyDescent="0.35">
      <c r="A44">
        <v>43</v>
      </c>
      <c r="B44">
        <v>4.4000000000000004</v>
      </c>
      <c r="C44">
        <v>3.2</v>
      </c>
      <c r="D44">
        <v>1.3</v>
      </c>
      <c r="E44">
        <v>0.2</v>
      </c>
      <c r="F44" s="8" t="s">
        <v>0</v>
      </c>
      <c r="G44">
        <f>B44*C44</f>
        <v>14.080000000000002</v>
      </c>
      <c r="H44">
        <f t="shared" si="0"/>
        <v>0.26</v>
      </c>
      <c r="I44" t="str">
        <f t="shared" si="1"/>
        <v>Petite</v>
      </c>
    </row>
    <row r="45" spans="1:9" x14ac:dyDescent="0.35">
      <c r="A45">
        <v>44</v>
      </c>
      <c r="B45">
        <v>5</v>
      </c>
      <c r="C45">
        <v>3.5</v>
      </c>
      <c r="D45">
        <v>1.6</v>
      </c>
      <c r="E45">
        <v>0.6</v>
      </c>
      <c r="F45" s="8" t="s">
        <v>0</v>
      </c>
      <c r="G45">
        <f>B45*C45</f>
        <v>17.5</v>
      </c>
      <c r="H45">
        <f t="shared" si="0"/>
        <v>0.96</v>
      </c>
      <c r="I45" t="str">
        <f t="shared" si="1"/>
        <v>Petite</v>
      </c>
    </row>
    <row r="46" spans="1:9" x14ac:dyDescent="0.35">
      <c r="A46">
        <v>45</v>
      </c>
      <c r="B46">
        <v>5.0999999999999996</v>
      </c>
      <c r="C46">
        <v>3.8</v>
      </c>
      <c r="D46">
        <v>1.9</v>
      </c>
      <c r="E46">
        <v>0.4</v>
      </c>
      <c r="F46" s="8" t="s">
        <v>0</v>
      </c>
      <c r="G46">
        <f>B46*C46</f>
        <v>19.38</v>
      </c>
      <c r="H46">
        <f t="shared" si="0"/>
        <v>0.76</v>
      </c>
      <c r="I46" t="str">
        <f t="shared" si="1"/>
        <v>Petite</v>
      </c>
    </row>
    <row r="47" spans="1:9" x14ac:dyDescent="0.35">
      <c r="A47">
        <v>46</v>
      </c>
      <c r="B47">
        <v>4.8</v>
      </c>
      <c r="C47">
        <v>3</v>
      </c>
      <c r="D47">
        <v>1.4</v>
      </c>
      <c r="E47">
        <v>0.3</v>
      </c>
      <c r="F47" s="8" t="s">
        <v>0</v>
      </c>
      <c r="G47">
        <f>B47*C47</f>
        <v>14.399999999999999</v>
      </c>
      <c r="H47">
        <f t="shared" si="0"/>
        <v>0.42</v>
      </c>
      <c r="I47" t="str">
        <f t="shared" si="1"/>
        <v>Petite</v>
      </c>
    </row>
    <row r="48" spans="1:9" x14ac:dyDescent="0.35">
      <c r="A48">
        <v>47</v>
      </c>
      <c r="B48">
        <v>5.0999999999999996</v>
      </c>
      <c r="C48">
        <v>3.8</v>
      </c>
      <c r="D48">
        <v>1.6</v>
      </c>
      <c r="E48">
        <v>0.2</v>
      </c>
      <c r="F48" s="8" t="s">
        <v>0</v>
      </c>
      <c r="G48">
        <f>B48*C48</f>
        <v>19.38</v>
      </c>
      <c r="H48">
        <f t="shared" si="0"/>
        <v>0.32000000000000006</v>
      </c>
      <c r="I48" t="str">
        <f t="shared" si="1"/>
        <v>Petite</v>
      </c>
    </row>
    <row r="49" spans="1:9" x14ac:dyDescent="0.35">
      <c r="A49">
        <v>48</v>
      </c>
      <c r="B49">
        <v>4.5999999999999996</v>
      </c>
      <c r="C49">
        <v>3.2</v>
      </c>
      <c r="D49">
        <v>1.4</v>
      </c>
      <c r="E49">
        <v>0.2</v>
      </c>
      <c r="F49" s="8" t="s">
        <v>0</v>
      </c>
      <c r="G49">
        <f>B49*C49</f>
        <v>14.719999999999999</v>
      </c>
      <c r="H49">
        <f t="shared" si="0"/>
        <v>0.27999999999999997</v>
      </c>
      <c r="I49" t="str">
        <f t="shared" si="1"/>
        <v>Petite</v>
      </c>
    </row>
    <row r="50" spans="1:9" x14ac:dyDescent="0.35">
      <c r="A50">
        <v>49</v>
      </c>
      <c r="B50">
        <v>5.3</v>
      </c>
      <c r="C50">
        <v>3.7</v>
      </c>
      <c r="D50">
        <v>1.5</v>
      </c>
      <c r="E50">
        <v>0.2</v>
      </c>
      <c r="F50" s="8" t="s">
        <v>0</v>
      </c>
      <c r="G50">
        <f>B50*C50</f>
        <v>19.61</v>
      </c>
      <c r="H50">
        <f t="shared" si="0"/>
        <v>0.30000000000000004</v>
      </c>
      <c r="I50" t="str">
        <f t="shared" si="1"/>
        <v>Petite</v>
      </c>
    </row>
    <row r="51" spans="1:9" x14ac:dyDescent="0.35">
      <c r="A51">
        <v>50</v>
      </c>
      <c r="B51">
        <v>5</v>
      </c>
      <c r="C51">
        <v>3.3</v>
      </c>
      <c r="D51">
        <v>1.4</v>
      </c>
      <c r="E51">
        <v>0.2</v>
      </c>
      <c r="F51" s="8" t="s">
        <v>0</v>
      </c>
      <c r="G51">
        <f>B51*C51</f>
        <v>16.5</v>
      </c>
      <c r="H51">
        <f t="shared" si="0"/>
        <v>0.27999999999999997</v>
      </c>
      <c r="I51" t="str">
        <f t="shared" si="1"/>
        <v>Petite</v>
      </c>
    </row>
    <row r="52" spans="1:9" x14ac:dyDescent="0.35">
      <c r="A52">
        <v>51</v>
      </c>
      <c r="B52">
        <v>7</v>
      </c>
      <c r="C52">
        <v>3.2</v>
      </c>
      <c r="D52">
        <v>4.7</v>
      </c>
      <c r="E52">
        <v>1.4</v>
      </c>
      <c r="F52" s="8" t="s">
        <v>1</v>
      </c>
      <c r="G52">
        <f>B52*C52</f>
        <v>22.400000000000002</v>
      </c>
      <c r="H52">
        <f t="shared" si="0"/>
        <v>6.58</v>
      </c>
      <c r="I52" t="str">
        <f t="shared" si="1"/>
        <v>Grande</v>
      </c>
    </row>
    <row r="53" spans="1:9" x14ac:dyDescent="0.35">
      <c r="A53">
        <v>52</v>
      </c>
      <c r="B53">
        <v>6.4</v>
      </c>
      <c r="C53">
        <v>3.2</v>
      </c>
      <c r="D53">
        <v>4.5</v>
      </c>
      <c r="E53">
        <v>1.5</v>
      </c>
      <c r="F53" s="8" t="s">
        <v>1</v>
      </c>
      <c r="G53">
        <f>B53*C53</f>
        <v>20.480000000000004</v>
      </c>
      <c r="H53">
        <f t="shared" si="0"/>
        <v>6.75</v>
      </c>
      <c r="I53" t="str">
        <f t="shared" si="1"/>
        <v>Grande</v>
      </c>
    </row>
    <row r="54" spans="1:9" x14ac:dyDescent="0.35">
      <c r="A54">
        <v>53</v>
      </c>
      <c r="B54">
        <v>6.9</v>
      </c>
      <c r="C54">
        <v>3.1</v>
      </c>
      <c r="D54">
        <v>4.9000000000000004</v>
      </c>
      <c r="E54">
        <v>1.5</v>
      </c>
      <c r="F54" s="8" t="s">
        <v>1</v>
      </c>
      <c r="G54">
        <f>B54*C54</f>
        <v>21.39</v>
      </c>
      <c r="H54">
        <f t="shared" si="0"/>
        <v>7.3500000000000005</v>
      </c>
      <c r="I54" t="str">
        <f t="shared" si="1"/>
        <v>Grande</v>
      </c>
    </row>
    <row r="55" spans="1:9" x14ac:dyDescent="0.35">
      <c r="A55">
        <v>54</v>
      </c>
      <c r="B55">
        <v>5.5</v>
      </c>
      <c r="C55">
        <v>2.2999999999999998</v>
      </c>
      <c r="D55">
        <v>4</v>
      </c>
      <c r="E55">
        <v>1.3</v>
      </c>
      <c r="F55" s="8" t="s">
        <v>1</v>
      </c>
      <c r="G55">
        <f>B55*C55</f>
        <v>12.649999999999999</v>
      </c>
      <c r="H55">
        <f t="shared" si="0"/>
        <v>5.2</v>
      </c>
      <c r="I55" t="str">
        <f t="shared" si="1"/>
        <v>Grande</v>
      </c>
    </row>
    <row r="56" spans="1:9" x14ac:dyDescent="0.35">
      <c r="A56">
        <v>55</v>
      </c>
      <c r="B56">
        <v>6.5</v>
      </c>
      <c r="C56">
        <v>2.8</v>
      </c>
      <c r="D56">
        <v>4.5999999999999996</v>
      </c>
      <c r="E56">
        <v>1.5</v>
      </c>
      <c r="F56" s="8" t="s">
        <v>1</v>
      </c>
      <c r="G56">
        <f>B56*C56</f>
        <v>18.2</v>
      </c>
      <c r="H56">
        <f t="shared" si="0"/>
        <v>6.8999999999999995</v>
      </c>
      <c r="I56" t="str">
        <f t="shared" si="1"/>
        <v>Grande</v>
      </c>
    </row>
    <row r="57" spans="1:9" x14ac:dyDescent="0.35">
      <c r="A57">
        <v>56</v>
      </c>
      <c r="B57">
        <v>5.7</v>
      </c>
      <c r="C57">
        <v>2.8</v>
      </c>
      <c r="D57">
        <v>4.5</v>
      </c>
      <c r="E57">
        <v>1.3</v>
      </c>
      <c r="F57" s="8" t="s">
        <v>1</v>
      </c>
      <c r="G57">
        <f>B57*C57</f>
        <v>15.959999999999999</v>
      </c>
      <c r="H57">
        <f t="shared" si="0"/>
        <v>5.8500000000000005</v>
      </c>
      <c r="I57" t="str">
        <f t="shared" si="1"/>
        <v>Grande</v>
      </c>
    </row>
    <row r="58" spans="1:9" x14ac:dyDescent="0.35">
      <c r="A58">
        <v>57</v>
      </c>
      <c r="B58">
        <v>6.3</v>
      </c>
      <c r="C58">
        <v>3.3</v>
      </c>
      <c r="D58">
        <v>4.7</v>
      </c>
      <c r="E58">
        <v>1.6</v>
      </c>
      <c r="F58" s="8" t="s">
        <v>1</v>
      </c>
      <c r="G58">
        <f>B58*C58</f>
        <v>20.79</v>
      </c>
      <c r="H58">
        <f t="shared" si="0"/>
        <v>7.5200000000000005</v>
      </c>
      <c r="I58" t="str">
        <f t="shared" si="1"/>
        <v>Grande</v>
      </c>
    </row>
    <row r="59" spans="1:9" x14ac:dyDescent="0.35">
      <c r="A59">
        <v>58</v>
      </c>
      <c r="B59">
        <v>4.9000000000000004</v>
      </c>
      <c r="C59">
        <v>2.4</v>
      </c>
      <c r="D59">
        <v>3.3</v>
      </c>
      <c r="E59">
        <v>1</v>
      </c>
      <c r="F59" s="8" t="s">
        <v>1</v>
      </c>
      <c r="G59">
        <f>B59*C59</f>
        <v>11.76</v>
      </c>
      <c r="H59">
        <f t="shared" si="0"/>
        <v>3.3</v>
      </c>
      <c r="I59" t="str">
        <f t="shared" si="1"/>
        <v>Moyenne</v>
      </c>
    </row>
    <row r="60" spans="1:9" x14ac:dyDescent="0.35">
      <c r="A60">
        <v>59</v>
      </c>
      <c r="B60">
        <v>6.6</v>
      </c>
      <c r="C60">
        <v>2.9</v>
      </c>
      <c r="D60">
        <v>4.5999999999999996</v>
      </c>
      <c r="E60">
        <v>1.3</v>
      </c>
      <c r="F60" s="8" t="s">
        <v>1</v>
      </c>
      <c r="G60">
        <f>B60*C60</f>
        <v>19.139999999999997</v>
      </c>
      <c r="H60">
        <f t="shared" si="0"/>
        <v>5.9799999999999995</v>
      </c>
      <c r="I60" t="str">
        <f t="shared" si="1"/>
        <v>Grande</v>
      </c>
    </row>
    <row r="61" spans="1:9" x14ac:dyDescent="0.35">
      <c r="A61">
        <v>60</v>
      </c>
      <c r="B61">
        <v>5.2</v>
      </c>
      <c r="C61">
        <v>2.7</v>
      </c>
      <c r="D61">
        <v>3.9</v>
      </c>
      <c r="E61">
        <v>1.4</v>
      </c>
      <c r="F61" s="8" t="s">
        <v>1</v>
      </c>
      <c r="G61">
        <f>B61*C61</f>
        <v>14.040000000000001</v>
      </c>
      <c r="H61">
        <f t="shared" si="0"/>
        <v>5.46</v>
      </c>
      <c r="I61" t="str">
        <f t="shared" si="1"/>
        <v>Grande</v>
      </c>
    </row>
    <row r="62" spans="1:9" x14ac:dyDescent="0.35">
      <c r="A62">
        <v>61</v>
      </c>
      <c r="B62">
        <v>5</v>
      </c>
      <c r="C62">
        <v>2</v>
      </c>
      <c r="D62">
        <v>3.5</v>
      </c>
      <c r="E62">
        <v>1</v>
      </c>
      <c r="F62" s="8" t="s">
        <v>1</v>
      </c>
      <c r="G62">
        <f>B62*C62</f>
        <v>10</v>
      </c>
      <c r="H62">
        <f t="shared" si="0"/>
        <v>3.5</v>
      </c>
      <c r="I62" t="str">
        <f t="shared" si="1"/>
        <v>Moyenne</v>
      </c>
    </row>
    <row r="63" spans="1:9" x14ac:dyDescent="0.35">
      <c r="A63">
        <v>62</v>
      </c>
      <c r="B63">
        <v>5.9</v>
      </c>
      <c r="C63">
        <v>3</v>
      </c>
      <c r="D63">
        <v>4.2</v>
      </c>
      <c r="E63">
        <v>1.5</v>
      </c>
      <c r="F63" s="8" t="s">
        <v>1</v>
      </c>
      <c r="G63">
        <f>B63*C63</f>
        <v>17.700000000000003</v>
      </c>
      <c r="H63">
        <f t="shared" si="0"/>
        <v>6.3000000000000007</v>
      </c>
      <c r="I63" t="str">
        <f t="shared" si="1"/>
        <v>Grande</v>
      </c>
    </row>
    <row r="64" spans="1:9" x14ac:dyDescent="0.35">
      <c r="A64">
        <v>63</v>
      </c>
      <c r="B64">
        <v>6</v>
      </c>
      <c r="C64">
        <v>2.2000000000000002</v>
      </c>
      <c r="D64">
        <v>4</v>
      </c>
      <c r="E64">
        <v>1</v>
      </c>
      <c r="F64" s="8" t="s">
        <v>1</v>
      </c>
      <c r="G64">
        <f>B64*C64</f>
        <v>13.200000000000001</v>
      </c>
      <c r="H64">
        <f t="shared" si="0"/>
        <v>4</v>
      </c>
      <c r="I64" t="str">
        <f t="shared" si="1"/>
        <v>Moyenne</v>
      </c>
    </row>
    <row r="65" spans="1:9" x14ac:dyDescent="0.35">
      <c r="A65">
        <v>64</v>
      </c>
      <c r="B65">
        <v>6.1</v>
      </c>
      <c r="C65">
        <v>2.9</v>
      </c>
      <c r="D65">
        <v>4.7</v>
      </c>
      <c r="E65">
        <v>1.4</v>
      </c>
      <c r="F65" s="8" t="s">
        <v>1</v>
      </c>
      <c r="G65">
        <f>B65*C65</f>
        <v>17.689999999999998</v>
      </c>
      <c r="H65">
        <f t="shared" si="0"/>
        <v>6.58</v>
      </c>
      <c r="I65" t="str">
        <f t="shared" si="1"/>
        <v>Grande</v>
      </c>
    </row>
    <row r="66" spans="1:9" x14ac:dyDescent="0.35">
      <c r="A66">
        <v>65</v>
      </c>
      <c r="B66">
        <v>5.6</v>
      </c>
      <c r="C66">
        <v>2.9</v>
      </c>
      <c r="D66">
        <v>3.6</v>
      </c>
      <c r="E66">
        <v>1.3</v>
      </c>
      <c r="F66" s="8" t="s">
        <v>1</v>
      </c>
      <c r="G66">
        <f>B66*C66</f>
        <v>16.239999999999998</v>
      </c>
      <c r="H66">
        <f t="shared" si="0"/>
        <v>4.6800000000000006</v>
      </c>
      <c r="I66" t="str">
        <f t="shared" si="1"/>
        <v>Moyenne</v>
      </c>
    </row>
    <row r="67" spans="1:9" x14ac:dyDescent="0.35">
      <c r="A67">
        <v>66</v>
      </c>
      <c r="B67">
        <v>6.7</v>
      </c>
      <c r="C67">
        <v>3.1</v>
      </c>
      <c r="D67">
        <v>4.4000000000000004</v>
      </c>
      <c r="E67">
        <v>1.4</v>
      </c>
      <c r="F67" s="8" t="s">
        <v>1</v>
      </c>
      <c r="G67">
        <f>B67*C67</f>
        <v>20.77</v>
      </c>
      <c r="H67">
        <f t="shared" ref="H67:H130" si="2">D67*E67</f>
        <v>6.16</v>
      </c>
      <c r="I67" t="str">
        <f t="shared" ref="I67:I130" si="3">IF(H67&lt;2,"Petite",IF(H67&lt;5,"Moyenne","Grande"))</f>
        <v>Grande</v>
      </c>
    </row>
    <row r="68" spans="1:9" x14ac:dyDescent="0.35">
      <c r="A68">
        <v>67</v>
      </c>
      <c r="B68">
        <v>5.6</v>
      </c>
      <c r="C68">
        <v>3</v>
      </c>
      <c r="D68">
        <v>4.5</v>
      </c>
      <c r="E68">
        <v>1.5</v>
      </c>
      <c r="F68" s="8" t="s">
        <v>1</v>
      </c>
      <c r="G68">
        <f>B68*C68</f>
        <v>16.799999999999997</v>
      </c>
      <c r="H68">
        <f t="shared" si="2"/>
        <v>6.75</v>
      </c>
      <c r="I68" t="str">
        <f t="shared" si="3"/>
        <v>Grande</v>
      </c>
    </row>
    <row r="69" spans="1:9" x14ac:dyDescent="0.35">
      <c r="A69">
        <v>68</v>
      </c>
      <c r="B69">
        <v>5.8</v>
      </c>
      <c r="C69">
        <v>2.7</v>
      </c>
      <c r="D69">
        <v>4.0999999999999996</v>
      </c>
      <c r="E69">
        <v>1</v>
      </c>
      <c r="F69" s="8" t="s">
        <v>1</v>
      </c>
      <c r="G69">
        <f>B69*C69</f>
        <v>15.66</v>
      </c>
      <c r="H69">
        <f t="shared" si="2"/>
        <v>4.0999999999999996</v>
      </c>
      <c r="I69" t="str">
        <f t="shared" si="3"/>
        <v>Moyenne</v>
      </c>
    </row>
    <row r="70" spans="1:9" x14ac:dyDescent="0.35">
      <c r="A70">
        <v>69</v>
      </c>
      <c r="B70">
        <v>6.2</v>
      </c>
      <c r="C70">
        <v>2.2000000000000002</v>
      </c>
      <c r="D70">
        <v>4.5</v>
      </c>
      <c r="E70">
        <v>1.5</v>
      </c>
      <c r="F70" s="8" t="s">
        <v>1</v>
      </c>
      <c r="G70">
        <f>B70*C70</f>
        <v>13.640000000000002</v>
      </c>
      <c r="H70">
        <f t="shared" si="2"/>
        <v>6.75</v>
      </c>
      <c r="I70" t="str">
        <f t="shared" si="3"/>
        <v>Grande</v>
      </c>
    </row>
    <row r="71" spans="1:9" x14ac:dyDescent="0.35">
      <c r="A71">
        <v>70</v>
      </c>
      <c r="B71">
        <v>5.6</v>
      </c>
      <c r="C71">
        <v>2.5</v>
      </c>
      <c r="D71">
        <v>3.9</v>
      </c>
      <c r="E71">
        <v>1.1000000000000001</v>
      </c>
      <c r="F71" s="8" t="s">
        <v>1</v>
      </c>
      <c r="G71">
        <f>B71*C71</f>
        <v>14</v>
      </c>
      <c r="H71">
        <f t="shared" si="2"/>
        <v>4.29</v>
      </c>
      <c r="I71" t="str">
        <f t="shared" si="3"/>
        <v>Moyenne</v>
      </c>
    </row>
    <row r="72" spans="1:9" x14ac:dyDescent="0.35">
      <c r="A72">
        <v>71</v>
      </c>
      <c r="B72">
        <v>5.9</v>
      </c>
      <c r="C72">
        <v>3.2</v>
      </c>
      <c r="D72">
        <v>4.8</v>
      </c>
      <c r="E72">
        <v>1.8</v>
      </c>
      <c r="F72" s="8" t="s">
        <v>1</v>
      </c>
      <c r="G72">
        <f>B72*C72</f>
        <v>18.880000000000003</v>
      </c>
      <c r="H72">
        <f t="shared" si="2"/>
        <v>8.64</v>
      </c>
      <c r="I72" t="str">
        <f t="shared" si="3"/>
        <v>Grande</v>
      </c>
    </row>
    <row r="73" spans="1:9" x14ac:dyDescent="0.35">
      <c r="A73">
        <v>72</v>
      </c>
      <c r="B73">
        <v>6.1</v>
      </c>
      <c r="C73">
        <v>2.8</v>
      </c>
      <c r="D73">
        <v>4</v>
      </c>
      <c r="E73">
        <v>1.3</v>
      </c>
      <c r="F73" s="8" t="s">
        <v>1</v>
      </c>
      <c r="G73">
        <f>B73*C73</f>
        <v>17.079999999999998</v>
      </c>
      <c r="H73">
        <f t="shared" si="2"/>
        <v>5.2</v>
      </c>
      <c r="I73" t="str">
        <f t="shared" si="3"/>
        <v>Grande</v>
      </c>
    </row>
    <row r="74" spans="1:9" x14ac:dyDescent="0.35">
      <c r="A74">
        <v>73</v>
      </c>
      <c r="B74">
        <v>6.3</v>
      </c>
      <c r="C74">
        <v>2.5</v>
      </c>
      <c r="D74">
        <v>4.9000000000000004</v>
      </c>
      <c r="E74">
        <v>1.5</v>
      </c>
      <c r="F74" s="8" t="s">
        <v>1</v>
      </c>
      <c r="G74">
        <f>B74*C74</f>
        <v>15.75</v>
      </c>
      <c r="H74">
        <f t="shared" si="2"/>
        <v>7.3500000000000005</v>
      </c>
      <c r="I74" t="str">
        <f t="shared" si="3"/>
        <v>Grande</v>
      </c>
    </row>
    <row r="75" spans="1:9" x14ac:dyDescent="0.35">
      <c r="A75">
        <v>74</v>
      </c>
      <c r="B75">
        <v>6.1</v>
      </c>
      <c r="C75">
        <v>2.8</v>
      </c>
      <c r="D75">
        <v>4.7</v>
      </c>
      <c r="E75">
        <v>1.2</v>
      </c>
      <c r="F75" s="8" t="s">
        <v>1</v>
      </c>
      <c r="G75">
        <f>B75*C75</f>
        <v>17.079999999999998</v>
      </c>
      <c r="H75">
        <f t="shared" si="2"/>
        <v>5.64</v>
      </c>
      <c r="I75" t="str">
        <f t="shared" si="3"/>
        <v>Grande</v>
      </c>
    </row>
    <row r="76" spans="1:9" x14ac:dyDescent="0.35">
      <c r="A76">
        <v>75</v>
      </c>
      <c r="B76">
        <v>6.4</v>
      </c>
      <c r="C76">
        <v>2.9</v>
      </c>
      <c r="D76">
        <v>4.3</v>
      </c>
      <c r="E76">
        <v>1.3</v>
      </c>
      <c r="F76" s="8" t="s">
        <v>1</v>
      </c>
      <c r="G76">
        <f>B76*C76</f>
        <v>18.559999999999999</v>
      </c>
      <c r="H76">
        <f t="shared" si="2"/>
        <v>5.59</v>
      </c>
      <c r="I76" t="str">
        <f t="shared" si="3"/>
        <v>Grande</v>
      </c>
    </row>
    <row r="77" spans="1:9" x14ac:dyDescent="0.35">
      <c r="A77">
        <v>76</v>
      </c>
      <c r="B77">
        <v>6.6</v>
      </c>
      <c r="C77">
        <v>3</v>
      </c>
      <c r="D77">
        <v>4.4000000000000004</v>
      </c>
      <c r="E77">
        <v>1.4</v>
      </c>
      <c r="F77" s="8" t="s">
        <v>1</v>
      </c>
      <c r="G77">
        <f>B77*C77</f>
        <v>19.799999999999997</v>
      </c>
      <c r="H77">
        <f t="shared" si="2"/>
        <v>6.16</v>
      </c>
      <c r="I77" t="str">
        <f t="shared" si="3"/>
        <v>Grande</v>
      </c>
    </row>
    <row r="78" spans="1:9" x14ac:dyDescent="0.35">
      <c r="A78">
        <v>77</v>
      </c>
      <c r="B78">
        <v>6.8</v>
      </c>
      <c r="C78">
        <v>2.8</v>
      </c>
      <c r="D78">
        <v>4.8</v>
      </c>
      <c r="E78">
        <v>1.4</v>
      </c>
      <c r="F78" s="8" t="s">
        <v>1</v>
      </c>
      <c r="G78">
        <f>B78*C78</f>
        <v>19.04</v>
      </c>
      <c r="H78">
        <f t="shared" si="2"/>
        <v>6.72</v>
      </c>
      <c r="I78" t="str">
        <f t="shared" si="3"/>
        <v>Grande</v>
      </c>
    </row>
    <row r="79" spans="1:9" x14ac:dyDescent="0.35">
      <c r="A79">
        <v>78</v>
      </c>
      <c r="B79">
        <v>6.7</v>
      </c>
      <c r="C79">
        <v>3</v>
      </c>
      <c r="D79">
        <v>5</v>
      </c>
      <c r="E79">
        <v>1.7</v>
      </c>
      <c r="F79" s="8" t="s">
        <v>1</v>
      </c>
      <c r="G79">
        <f>B79*C79</f>
        <v>20.100000000000001</v>
      </c>
      <c r="H79">
        <f t="shared" si="2"/>
        <v>8.5</v>
      </c>
      <c r="I79" t="str">
        <f t="shared" si="3"/>
        <v>Grande</v>
      </c>
    </row>
    <row r="80" spans="1:9" x14ac:dyDescent="0.35">
      <c r="A80">
        <v>79</v>
      </c>
      <c r="B80">
        <v>6</v>
      </c>
      <c r="C80">
        <v>2.9</v>
      </c>
      <c r="D80">
        <v>4.5</v>
      </c>
      <c r="E80">
        <v>1.5</v>
      </c>
      <c r="F80" s="8" t="s">
        <v>1</v>
      </c>
      <c r="G80">
        <f>B80*C80</f>
        <v>17.399999999999999</v>
      </c>
      <c r="H80">
        <f t="shared" si="2"/>
        <v>6.75</v>
      </c>
      <c r="I80" t="str">
        <f t="shared" si="3"/>
        <v>Grande</v>
      </c>
    </row>
    <row r="81" spans="1:9" x14ac:dyDescent="0.35">
      <c r="A81">
        <v>80</v>
      </c>
      <c r="B81">
        <v>5.7</v>
      </c>
      <c r="C81">
        <v>2.6</v>
      </c>
      <c r="D81">
        <v>3.5</v>
      </c>
      <c r="E81">
        <v>1</v>
      </c>
      <c r="F81" s="8" t="s">
        <v>1</v>
      </c>
      <c r="G81">
        <f>B81*C81</f>
        <v>14.82</v>
      </c>
      <c r="H81">
        <f t="shared" si="2"/>
        <v>3.5</v>
      </c>
      <c r="I81" t="str">
        <f t="shared" si="3"/>
        <v>Moyenne</v>
      </c>
    </row>
    <row r="82" spans="1:9" x14ac:dyDescent="0.35">
      <c r="A82">
        <v>81</v>
      </c>
      <c r="B82">
        <v>5.5</v>
      </c>
      <c r="C82">
        <v>2.4</v>
      </c>
      <c r="D82">
        <v>3.8</v>
      </c>
      <c r="E82">
        <v>1.1000000000000001</v>
      </c>
      <c r="F82" s="8" t="s">
        <v>1</v>
      </c>
      <c r="G82">
        <f>B82*C82</f>
        <v>13.2</v>
      </c>
      <c r="H82">
        <f t="shared" si="2"/>
        <v>4.18</v>
      </c>
      <c r="I82" t="str">
        <f t="shared" si="3"/>
        <v>Moyenne</v>
      </c>
    </row>
    <row r="83" spans="1:9" x14ac:dyDescent="0.35">
      <c r="A83">
        <v>82</v>
      </c>
      <c r="B83">
        <v>5.5</v>
      </c>
      <c r="C83">
        <v>2.4</v>
      </c>
      <c r="D83">
        <v>3.7</v>
      </c>
      <c r="E83">
        <v>1</v>
      </c>
      <c r="F83" s="8" t="s">
        <v>1</v>
      </c>
      <c r="G83">
        <f>B83*C83</f>
        <v>13.2</v>
      </c>
      <c r="H83">
        <f t="shared" si="2"/>
        <v>3.7</v>
      </c>
      <c r="I83" t="str">
        <f t="shared" si="3"/>
        <v>Moyenne</v>
      </c>
    </row>
    <row r="84" spans="1:9" x14ac:dyDescent="0.35">
      <c r="A84">
        <v>83</v>
      </c>
      <c r="B84">
        <v>5.8</v>
      </c>
      <c r="C84">
        <v>2.7</v>
      </c>
      <c r="D84">
        <v>3.9</v>
      </c>
      <c r="E84">
        <v>1.2</v>
      </c>
      <c r="F84" s="8" t="s">
        <v>1</v>
      </c>
      <c r="G84">
        <f>B84*C84</f>
        <v>15.66</v>
      </c>
      <c r="H84">
        <f t="shared" si="2"/>
        <v>4.68</v>
      </c>
      <c r="I84" t="str">
        <f t="shared" si="3"/>
        <v>Moyenne</v>
      </c>
    </row>
    <row r="85" spans="1:9" x14ac:dyDescent="0.35">
      <c r="A85">
        <v>84</v>
      </c>
      <c r="B85">
        <v>6</v>
      </c>
      <c r="C85">
        <v>2.7</v>
      </c>
      <c r="D85">
        <v>5.0999999999999996</v>
      </c>
      <c r="E85">
        <v>1.6</v>
      </c>
      <c r="F85" s="8" t="s">
        <v>1</v>
      </c>
      <c r="G85">
        <f>B85*C85</f>
        <v>16.200000000000003</v>
      </c>
      <c r="H85">
        <f t="shared" si="2"/>
        <v>8.16</v>
      </c>
      <c r="I85" t="str">
        <f t="shared" si="3"/>
        <v>Grande</v>
      </c>
    </row>
    <row r="86" spans="1:9" x14ac:dyDescent="0.35">
      <c r="A86">
        <v>85</v>
      </c>
      <c r="B86">
        <v>5.4</v>
      </c>
      <c r="C86">
        <v>3</v>
      </c>
      <c r="D86">
        <v>4.5</v>
      </c>
      <c r="E86">
        <v>1.5</v>
      </c>
      <c r="F86" s="8" t="s">
        <v>1</v>
      </c>
      <c r="G86">
        <f>B86*C86</f>
        <v>16.200000000000003</v>
      </c>
      <c r="H86">
        <f t="shared" si="2"/>
        <v>6.75</v>
      </c>
      <c r="I86" t="str">
        <f t="shared" si="3"/>
        <v>Grande</v>
      </c>
    </row>
    <row r="87" spans="1:9" x14ac:dyDescent="0.35">
      <c r="A87">
        <v>86</v>
      </c>
      <c r="B87">
        <v>6</v>
      </c>
      <c r="C87">
        <v>3.4</v>
      </c>
      <c r="D87">
        <v>4.5</v>
      </c>
      <c r="E87">
        <v>1.6</v>
      </c>
      <c r="F87" s="8" t="s">
        <v>1</v>
      </c>
      <c r="G87">
        <f>B87*C87</f>
        <v>20.399999999999999</v>
      </c>
      <c r="H87">
        <f t="shared" si="2"/>
        <v>7.2</v>
      </c>
      <c r="I87" t="str">
        <f t="shared" si="3"/>
        <v>Grande</v>
      </c>
    </row>
    <row r="88" spans="1:9" x14ac:dyDescent="0.35">
      <c r="A88">
        <v>87</v>
      </c>
      <c r="B88">
        <v>6.7</v>
      </c>
      <c r="C88">
        <v>3.1</v>
      </c>
      <c r="D88">
        <v>4.7</v>
      </c>
      <c r="E88">
        <v>1.5</v>
      </c>
      <c r="F88" s="8" t="s">
        <v>1</v>
      </c>
      <c r="G88">
        <f>B88*C88</f>
        <v>20.77</v>
      </c>
      <c r="H88">
        <f t="shared" si="2"/>
        <v>7.0500000000000007</v>
      </c>
      <c r="I88" t="str">
        <f t="shared" si="3"/>
        <v>Grande</v>
      </c>
    </row>
    <row r="89" spans="1:9" x14ac:dyDescent="0.35">
      <c r="A89">
        <v>88</v>
      </c>
      <c r="B89">
        <v>6.3</v>
      </c>
      <c r="C89">
        <v>2.2999999999999998</v>
      </c>
      <c r="D89">
        <v>4.4000000000000004</v>
      </c>
      <c r="E89">
        <v>1.3</v>
      </c>
      <c r="F89" s="8" t="s">
        <v>1</v>
      </c>
      <c r="G89">
        <f>B89*C89</f>
        <v>14.489999999999998</v>
      </c>
      <c r="H89">
        <f t="shared" si="2"/>
        <v>5.7200000000000006</v>
      </c>
      <c r="I89" t="str">
        <f t="shared" si="3"/>
        <v>Grande</v>
      </c>
    </row>
    <row r="90" spans="1:9" x14ac:dyDescent="0.35">
      <c r="A90">
        <v>89</v>
      </c>
      <c r="B90">
        <v>5.6</v>
      </c>
      <c r="C90">
        <v>3</v>
      </c>
      <c r="D90">
        <v>4.0999999999999996</v>
      </c>
      <c r="E90">
        <v>1.3</v>
      </c>
      <c r="F90" s="8" t="s">
        <v>1</v>
      </c>
      <c r="G90">
        <f>B90*C90</f>
        <v>16.799999999999997</v>
      </c>
      <c r="H90">
        <f t="shared" si="2"/>
        <v>5.33</v>
      </c>
      <c r="I90" t="str">
        <f t="shared" si="3"/>
        <v>Grande</v>
      </c>
    </row>
    <row r="91" spans="1:9" x14ac:dyDescent="0.35">
      <c r="A91">
        <v>90</v>
      </c>
      <c r="B91">
        <v>5.5</v>
      </c>
      <c r="C91">
        <v>2.5</v>
      </c>
      <c r="D91">
        <v>4</v>
      </c>
      <c r="E91">
        <v>1.3</v>
      </c>
      <c r="F91" s="8" t="s">
        <v>1</v>
      </c>
      <c r="G91">
        <f>B91*C91</f>
        <v>13.75</v>
      </c>
      <c r="H91">
        <f t="shared" si="2"/>
        <v>5.2</v>
      </c>
      <c r="I91" t="str">
        <f t="shared" si="3"/>
        <v>Grande</v>
      </c>
    </row>
    <row r="92" spans="1:9" x14ac:dyDescent="0.35">
      <c r="A92">
        <v>91</v>
      </c>
      <c r="B92">
        <v>5.5</v>
      </c>
      <c r="C92">
        <v>2.6</v>
      </c>
      <c r="D92">
        <v>4.4000000000000004</v>
      </c>
      <c r="E92">
        <v>1.2</v>
      </c>
      <c r="F92" s="8" t="s">
        <v>1</v>
      </c>
      <c r="G92">
        <f>B92*C92</f>
        <v>14.3</v>
      </c>
      <c r="H92">
        <f t="shared" si="2"/>
        <v>5.28</v>
      </c>
      <c r="I92" t="str">
        <f t="shared" si="3"/>
        <v>Grande</v>
      </c>
    </row>
    <row r="93" spans="1:9" x14ac:dyDescent="0.35">
      <c r="A93">
        <v>92</v>
      </c>
      <c r="B93">
        <v>6.1</v>
      </c>
      <c r="C93">
        <v>3</v>
      </c>
      <c r="D93">
        <v>4.5999999999999996</v>
      </c>
      <c r="E93">
        <v>1.4</v>
      </c>
      <c r="F93" s="8" t="s">
        <v>1</v>
      </c>
      <c r="G93">
        <f>B93*C93</f>
        <v>18.299999999999997</v>
      </c>
      <c r="H93">
        <f t="shared" si="2"/>
        <v>6.4399999999999995</v>
      </c>
      <c r="I93" t="str">
        <f t="shared" si="3"/>
        <v>Grande</v>
      </c>
    </row>
    <row r="94" spans="1:9" x14ac:dyDescent="0.35">
      <c r="A94">
        <v>93</v>
      </c>
      <c r="B94">
        <v>5.8</v>
      </c>
      <c r="C94">
        <v>2.6</v>
      </c>
      <c r="D94">
        <v>4</v>
      </c>
      <c r="E94">
        <v>1.2</v>
      </c>
      <c r="F94" s="8" t="s">
        <v>1</v>
      </c>
      <c r="G94">
        <f>B94*C94</f>
        <v>15.08</v>
      </c>
      <c r="H94">
        <f t="shared" si="2"/>
        <v>4.8</v>
      </c>
      <c r="I94" t="str">
        <f t="shared" si="3"/>
        <v>Moyenne</v>
      </c>
    </row>
    <row r="95" spans="1:9" x14ac:dyDescent="0.35">
      <c r="A95">
        <v>94</v>
      </c>
      <c r="B95">
        <v>5</v>
      </c>
      <c r="C95">
        <v>2.2999999999999998</v>
      </c>
      <c r="D95">
        <v>3.3</v>
      </c>
      <c r="E95">
        <v>1</v>
      </c>
      <c r="F95" s="8" t="s">
        <v>1</v>
      </c>
      <c r="G95">
        <f>B95*C95</f>
        <v>11.5</v>
      </c>
      <c r="H95">
        <f t="shared" si="2"/>
        <v>3.3</v>
      </c>
      <c r="I95" t="str">
        <f t="shared" si="3"/>
        <v>Moyenne</v>
      </c>
    </row>
    <row r="96" spans="1:9" x14ac:dyDescent="0.35">
      <c r="A96">
        <v>95</v>
      </c>
      <c r="B96">
        <v>5.6</v>
      </c>
      <c r="C96">
        <v>2.7</v>
      </c>
      <c r="D96">
        <v>4.2</v>
      </c>
      <c r="E96">
        <v>1.3</v>
      </c>
      <c r="F96" s="8" t="s">
        <v>1</v>
      </c>
      <c r="G96">
        <f>B96*C96</f>
        <v>15.12</v>
      </c>
      <c r="H96">
        <f t="shared" si="2"/>
        <v>5.4600000000000009</v>
      </c>
      <c r="I96" t="str">
        <f t="shared" si="3"/>
        <v>Grande</v>
      </c>
    </row>
    <row r="97" spans="1:9" x14ac:dyDescent="0.35">
      <c r="A97">
        <v>96</v>
      </c>
      <c r="B97">
        <v>5.7</v>
      </c>
      <c r="C97">
        <v>3</v>
      </c>
      <c r="D97">
        <v>4.2</v>
      </c>
      <c r="E97">
        <v>1.2</v>
      </c>
      <c r="F97" s="8" t="s">
        <v>1</v>
      </c>
      <c r="G97">
        <f>B97*C97</f>
        <v>17.100000000000001</v>
      </c>
      <c r="H97">
        <f t="shared" si="2"/>
        <v>5.04</v>
      </c>
      <c r="I97" t="str">
        <f t="shared" si="3"/>
        <v>Grande</v>
      </c>
    </row>
    <row r="98" spans="1:9" x14ac:dyDescent="0.35">
      <c r="A98">
        <v>97</v>
      </c>
      <c r="B98">
        <v>5.7</v>
      </c>
      <c r="C98">
        <v>2.9</v>
      </c>
      <c r="D98">
        <v>4.2</v>
      </c>
      <c r="E98">
        <v>1.3</v>
      </c>
      <c r="F98" s="8" t="s">
        <v>1</v>
      </c>
      <c r="G98">
        <f>B98*C98</f>
        <v>16.53</v>
      </c>
      <c r="H98">
        <f t="shared" si="2"/>
        <v>5.4600000000000009</v>
      </c>
      <c r="I98" t="str">
        <f t="shared" si="3"/>
        <v>Grande</v>
      </c>
    </row>
    <row r="99" spans="1:9" x14ac:dyDescent="0.35">
      <c r="A99">
        <v>98</v>
      </c>
      <c r="B99">
        <v>6.2</v>
      </c>
      <c r="C99">
        <v>2.9</v>
      </c>
      <c r="D99">
        <v>4.3</v>
      </c>
      <c r="E99">
        <v>1.3</v>
      </c>
      <c r="F99" s="8" t="s">
        <v>1</v>
      </c>
      <c r="G99">
        <f>B99*C99</f>
        <v>17.98</v>
      </c>
      <c r="H99">
        <f t="shared" si="2"/>
        <v>5.59</v>
      </c>
      <c r="I99" t="str">
        <f t="shared" si="3"/>
        <v>Grande</v>
      </c>
    </row>
    <row r="100" spans="1:9" x14ac:dyDescent="0.35">
      <c r="A100">
        <v>99</v>
      </c>
      <c r="B100">
        <v>5.0999999999999996</v>
      </c>
      <c r="C100">
        <v>2.5</v>
      </c>
      <c r="D100">
        <v>3</v>
      </c>
      <c r="E100">
        <v>1.1000000000000001</v>
      </c>
      <c r="F100" s="8" t="s">
        <v>1</v>
      </c>
      <c r="G100">
        <f>B100*C100</f>
        <v>12.75</v>
      </c>
      <c r="H100">
        <f t="shared" si="2"/>
        <v>3.3000000000000003</v>
      </c>
      <c r="I100" t="str">
        <f t="shared" si="3"/>
        <v>Moyenne</v>
      </c>
    </row>
    <row r="101" spans="1:9" x14ac:dyDescent="0.35">
      <c r="A101">
        <v>100</v>
      </c>
      <c r="B101">
        <v>5.7</v>
      </c>
      <c r="C101">
        <v>2.8</v>
      </c>
      <c r="D101">
        <v>4.0999999999999996</v>
      </c>
      <c r="E101">
        <v>1.3</v>
      </c>
      <c r="F101" s="8" t="s">
        <v>1</v>
      </c>
      <c r="G101">
        <f>B101*C101</f>
        <v>15.959999999999999</v>
      </c>
      <c r="H101">
        <f t="shared" si="2"/>
        <v>5.33</v>
      </c>
      <c r="I101" t="str">
        <f t="shared" si="3"/>
        <v>Grande</v>
      </c>
    </row>
    <row r="102" spans="1:9" x14ac:dyDescent="0.35">
      <c r="A102">
        <v>101</v>
      </c>
      <c r="B102">
        <v>6.3</v>
      </c>
      <c r="C102">
        <v>3.3</v>
      </c>
      <c r="D102">
        <v>6</v>
      </c>
      <c r="E102">
        <v>2.5</v>
      </c>
      <c r="F102" s="8" t="s">
        <v>2</v>
      </c>
      <c r="G102">
        <f>B102*C102</f>
        <v>20.79</v>
      </c>
      <c r="H102">
        <f t="shared" si="2"/>
        <v>15</v>
      </c>
      <c r="I102" t="str">
        <f t="shared" si="3"/>
        <v>Grande</v>
      </c>
    </row>
    <row r="103" spans="1:9" x14ac:dyDescent="0.35">
      <c r="A103">
        <v>102</v>
      </c>
      <c r="B103">
        <v>5.8</v>
      </c>
      <c r="C103">
        <v>2.7</v>
      </c>
      <c r="D103">
        <v>5.0999999999999996</v>
      </c>
      <c r="E103">
        <v>1.9</v>
      </c>
      <c r="F103" s="8" t="s">
        <v>2</v>
      </c>
      <c r="G103">
        <f>B103*C103</f>
        <v>15.66</v>
      </c>
      <c r="H103">
        <f t="shared" si="2"/>
        <v>9.69</v>
      </c>
      <c r="I103" t="str">
        <f t="shared" si="3"/>
        <v>Grande</v>
      </c>
    </row>
    <row r="104" spans="1:9" x14ac:dyDescent="0.35">
      <c r="A104">
        <v>103</v>
      </c>
      <c r="B104">
        <v>7.1</v>
      </c>
      <c r="C104">
        <v>3</v>
      </c>
      <c r="D104">
        <v>5.9</v>
      </c>
      <c r="E104">
        <v>2.1</v>
      </c>
      <c r="F104" s="8" t="s">
        <v>2</v>
      </c>
      <c r="G104">
        <f>B104*C104</f>
        <v>21.299999999999997</v>
      </c>
      <c r="H104">
        <f t="shared" si="2"/>
        <v>12.39</v>
      </c>
      <c r="I104" t="str">
        <f t="shared" si="3"/>
        <v>Grande</v>
      </c>
    </row>
    <row r="105" spans="1:9" x14ac:dyDescent="0.35">
      <c r="A105">
        <v>104</v>
      </c>
      <c r="B105">
        <v>6.3</v>
      </c>
      <c r="C105">
        <v>2.9</v>
      </c>
      <c r="D105">
        <v>5.6</v>
      </c>
      <c r="E105">
        <v>1.8</v>
      </c>
      <c r="F105" s="8" t="s">
        <v>2</v>
      </c>
      <c r="G105">
        <f>B105*C105</f>
        <v>18.27</v>
      </c>
      <c r="H105">
        <f t="shared" si="2"/>
        <v>10.08</v>
      </c>
      <c r="I105" t="str">
        <f t="shared" si="3"/>
        <v>Grande</v>
      </c>
    </row>
    <row r="106" spans="1:9" x14ac:dyDescent="0.35">
      <c r="A106">
        <v>105</v>
      </c>
      <c r="B106">
        <v>6.5</v>
      </c>
      <c r="C106">
        <v>3</v>
      </c>
      <c r="D106">
        <v>5.8</v>
      </c>
      <c r="E106">
        <v>2.2000000000000002</v>
      </c>
      <c r="F106" s="8" t="s">
        <v>2</v>
      </c>
      <c r="G106">
        <f>B106*C106</f>
        <v>19.5</v>
      </c>
      <c r="H106">
        <f t="shared" si="2"/>
        <v>12.76</v>
      </c>
      <c r="I106" t="str">
        <f t="shared" si="3"/>
        <v>Grande</v>
      </c>
    </row>
    <row r="107" spans="1:9" x14ac:dyDescent="0.35">
      <c r="A107">
        <v>106</v>
      </c>
      <c r="B107">
        <v>7.6</v>
      </c>
      <c r="C107">
        <v>3</v>
      </c>
      <c r="D107">
        <v>6.6</v>
      </c>
      <c r="E107">
        <v>2.1</v>
      </c>
      <c r="F107" s="8" t="s">
        <v>2</v>
      </c>
      <c r="G107">
        <f>B107*C107</f>
        <v>22.799999999999997</v>
      </c>
      <c r="H107">
        <f t="shared" si="2"/>
        <v>13.86</v>
      </c>
      <c r="I107" t="str">
        <f t="shared" si="3"/>
        <v>Grande</v>
      </c>
    </row>
    <row r="108" spans="1:9" x14ac:dyDescent="0.35">
      <c r="A108">
        <v>107</v>
      </c>
      <c r="B108">
        <v>4.9000000000000004</v>
      </c>
      <c r="C108">
        <v>2.5</v>
      </c>
      <c r="D108">
        <v>4.5</v>
      </c>
      <c r="E108">
        <v>1.7</v>
      </c>
      <c r="F108" s="8" t="s">
        <v>2</v>
      </c>
      <c r="G108">
        <f>B108*C108</f>
        <v>12.25</v>
      </c>
      <c r="H108">
        <f t="shared" si="2"/>
        <v>7.6499999999999995</v>
      </c>
      <c r="I108" t="str">
        <f t="shared" si="3"/>
        <v>Grande</v>
      </c>
    </row>
    <row r="109" spans="1:9" x14ac:dyDescent="0.35">
      <c r="A109">
        <v>108</v>
      </c>
      <c r="B109">
        <v>7.3</v>
      </c>
      <c r="C109">
        <v>2.9</v>
      </c>
      <c r="D109">
        <v>6.3</v>
      </c>
      <c r="E109">
        <v>1.8</v>
      </c>
      <c r="F109" s="8" t="s">
        <v>2</v>
      </c>
      <c r="G109">
        <f>B109*C109</f>
        <v>21.169999999999998</v>
      </c>
      <c r="H109">
        <f t="shared" si="2"/>
        <v>11.34</v>
      </c>
      <c r="I109" t="str">
        <f t="shared" si="3"/>
        <v>Grande</v>
      </c>
    </row>
    <row r="110" spans="1:9" x14ac:dyDescent="0.35">
      <c r="A110">
        <v>109</v>
      </c>
      <c r="B110">
        <v>6.7</v>
      </c>
      <c r="C110">
        <v>2.5</v>
      </c>
      <c r="D110">
        <v>5.8</v>
      </c>
      <c r="E110">
        <v>1.8</v>
      </c>
      <c r="F110" s="8" t="s">
        <v>2</v>
      </c>
      <c r="G110">
        <f>B110*C110</f>
        <v>16.75</v>
      </c>
      <c r="H110">
        <f t="shared" si="2"/>
        <v>10.44</v>
      </c>
      <c r="I110" t="str">
        <f t="shared" si="3"/>
        <v>Grande</v>
      </c>
    </row>
    <row r="111" spans="1:9" x14ac:dyDescent="0.35">
      <c r="A111">
        <v>110</v>
      </c>
      <c r="B111">
        <v>7.2</v>
      </c>
      <c r="C111">
        <v>3.6</v>
      </c>
      <c r="D111">
        <v>6.1</v>
      </c>
      <c r="E111">
        <v>2.5</v>
      </c>
      <c r="F111" s="8" t="s">
        <v>2</v>
      </c>
      <c r="G111">
        <f>B111*C111</f>
        <v>25.92</v>
      </c>
      <c r="H111">
        <f t="shared" si="2"/>
        <v>15.25</v>
      </c>
      <c r="I111" t="str">
        <f t="shared" si="3"/>
        <v>Grande</v>
      </c>
    </row>
    <row r="112" spans="1:9" x14ac:dyDescent="0.35">
      <c r="A112">
        <v>111</v>
      </c>
      <c r="B112">
        <v>6.5</v>
      </c>
      <c r="C112">
        <v>3.2</v>
      </c>
      <c r="D112">
        <v>5.0999999999999996</v>
      </c>
      <c r="E112">
        <v>2</v>
      </c>
      <c r="F112" s="8" t="s">
        <v>2</v>
      </c>
      <c r="G112">
        <f>B112*C112</f>
        <v>20.8</v>
      </c>
      <c r="H112">
        <f t="shared" si="2"/>
        <v>10.199999999999999</v>
      </c>
      <c r="I112" t="str">
        <f t="shared" si="3"/>
        <v>Grande</v>
      </c>
    </row>
    <row r="113" spans="1:9" x14ac:dyDescent="0.35">
      <c r="A113">
        <v>112</v>
      </c>
      <c r="B113">
        <v>6.4</v>
      </c>
      <c r="C113">
        <v>2.7</v>
      </c>
      <c r="D113">
        <v>5.3</v>
      </c>
      <c r="E113">
        <v>1.9</v>
      </c>
      <c r="F113" s="8" t="s">
        <v>2</v>
      </c>
      <c r="G113">
        <f>B113*C113</f>
        <v>17.28</v>
      </c>
      <c r="H113">
        <f t="shared" si="2"/>
        <v>10.069999999999999</v>
      </c>
      <c r="I113" t="str">
        <f t="shared" si="3"/>
        <v>Grande</v>
      </c>
    </row>
    <row r="114" spans="1:9" x14ac:dyDescent="0.35">
      <c r="A114">
        <v>113</v>
      </c>
      <c r="B114">
        <v>6.8</v>
      </c>
      <c r="C114">
        <v>3</v>
      </c>
      <c r="D114">
        <v>5.5</v>
      </c>
      <c r="E114">
        <v>2.1</v>
      </c>
      <c r="F114" s="8" t="s">
        <v>2</v>
      </c>
      <c r="G114">
        <f>B114*C114</f>
        <v>20.399999999999999</v>
      </c>
      <c r="H114">
        <f t="shared" si="2"/>
        <v>11.55</v>
      </c>
      <c r="I114" t="str">
        <f t="shared" si="3"/>
        <v>Grande</v>
      </c>
    </row>
    <row r="115" spans="1:9" x14ac:dyDescent="0.35">
      <c r="A115">
        <v>114</v>
      </c>
      <c r="B115">
        <v>5.7</v>
      </c>
      <c r="C115">
        <v>2.5</v>
      </c>
      <c r="D115">
        <v>5</v>
      </c>
      <c r="E115">
        <v>2</v>
      </c>
      <c r="F115" s="8" t="s">
        <v>2</v>
      </c>
      <c r="G115">
        <f>B115*C115</f>
        <v>14.25</v>
      </c>
      <c r="H115">
        <f t="shared" si="2"/>
        <v>10</v>
      </c>
      <c r="I115" t="str">
        <f t="shared" si="3"/>
        <v>Grande</v>
      </c>
    </row>
    <row r="116" spans="1:9" x14ac:dyDescent="0.35">
      <c r="A116">
        <v>115</v>
      </c>
      <c r="B116">
        <v>5.8</v>
      </c>
      <c r="C116">
        <v>2.8</v>
      </c>
      <c r="D116">
        <v>5.0999999999999996</v>
      </c>
      <c r="E116">
        <v>2.4</v>
      </c>
      <c r="F116" s="8" t="s">
        <v>2</v>
      </c>
      <c r="G116">
        <f>B116*C116</f>
        <v>16.239999999999998</v>
      </c>
      <c r="H116">
        <f t="shared" si="2"/>
        <v>12.239999999999998</v>
      </c>
      <c r="I116" t="str">
        <f t="shared" si="3"/>
        <v>Grande</v>
      </c>
    </row>
    <row r="117" spans="1:9" x14ac:dyDescent="0.35">
      <c r="A117">
        <v>116</v>
      </c>
      <c r="B117">
        <v>6.4</v>
      </c>
      <c r="C117">
        <v>3.2</v>
      </c>
      <c r="D117">
        <v>5.3</v>
      </c>
      <c r="E117">
        <v>2.2999999999999998</v>
      </c>
      <c r="F117" s="8" t="s">
        <v>2</v>
      </c>
      <c r="G117">
        <f>B117*C117</f>
        <v>20.480000000000004</v>
      </c>
      <c r="H117">
        <f t="shared" si="2"/>
        <v>12.19</v>
      </c>
      <c r="I117" t="str">
        <f t="shared" si="3"/>
        <v>Grande</v>
      </c>
    </row>
    <row r="118" spans="1:9" x14ac:dyDescent="0.35">
      <c r="A118">
        <v>117</v>
      </c>
      <c r="B118">
        <v>6.5</v>
      </c>
      <c r="C118">
        <v>3</v>
      </c>
      <c r="D118">
        <v>5.5</v>
      </c>
      <c r="E118">
        <v>1.8</v>
      </c>
      <c r="F118" s="8" t="s">
        <v>2</v>
      </c>
      <c r="G118">
        <f>B118*C118</f>
        <v>19.5</v>
      </c>
      <c r="H118">
        <f t="shared" si="2"/>
        <v>9.9</v>
      </c>
      <c r="I118" t="str">
        <f t="shared" si="3"/>
        <v>Grande</v>
      </c>
    </row>
    <row r="119" spans="1:9" x14ac:dyDescent="0.35">
      <c r="A119">
        <v>118</v>
      </c>
      <c r="B119">
        <v>7.7</v>
      </c>
      <c r="C119">
        <v>3.8</v>
      </c>
      <c r="D119">
        <v>6.7</v>
      </c>
      <c r="E119">
        <v>2.2000000000000002</v>
      </c>
      <c r="F119" s="8" t="s">
        <v>2</v>
      </c>
      <c r="G119">
        <f>B119*C119</f>
        <v>29.259999999999998</v>
      </c>
      <c r="H119">
        <f t="shared" si="2"/>
        <v>14.740000000000002</v>
      </c>
      <c r="I119" t="str">
        <f t="shared" si="3"/>
        <v>Grande</v>
      </c>
    </row>
    <row r="120" spans="1:9" x14ac:dyDescent="0.35">
      <c r="A120">
        <v>119</v>
      </c>
      <c r="B120">
        <v>7.7</v>
      </c>
      <c r="C120">
        <v>2.6</v>
      </c>
      <c r="D120">
        <v>6.9</v>
      </c>
      <c r="E120">
        <v>2.2999999999999998</v>
      </c>
      <c r="F120" s="8" t="s">
        <v>2</v>
      </c>
      <c r="G120">
        <f>B120*C120</f>
        <v>20.02</v>
      </c>
      <c r="H120">
        <f t="shared" si="2"/>
        <v>15.87</v>
      </c>
      <c r="I120" t="str">
        <f t="shared" si="3"/>
        <v>Grande</v>
      </c>
    </row>
    <row r="121" spans="1:9" x14ac:dyDescent="0.35">
      <c r="A121">
        <v>120</v>
      </c>
      <c r="B121">
        <v>6</v>
      </c>
      <c r="C121">
        <v>2.2000000000000002</v>
      </c>
      <c r="D121">
        <v>5</v>
      </c>
      <c r="E121">
        <v>1.5</v>
      </c>
      <c r="F121" s="8" t="s">
        <v>2</v>
      </c>
      <c r="G121">
        <f>B121*C121</f>
        <v>13.200000000000001</v>
      </c>
      <c r="H121">
        <f t="shared" si="2"/>
        <v>7.5</v>
      </c>
      <c r="I121" t="str">
        <f t="shared" si="3"/>
        <v>Grande</v>
      </c>
    </row>
    <row r="122" spans="1:9" x14ac:dyDescent="0.35">
      <c r="A122">
        <v>121</v>
      </c>
      <c r="B122">
        <v>6.9</v>
      </c>
      <c r="C122">
        <v>3.2</v>
      </c>
      <c r="D122">
        <v>5.7</v>
      </c>
      <c r="E122">
        <v>2.2999999999999998</v>
      </c>
      <c r="F122" s="8" t="s">
        <v>2</v>
      </c>
      <c r="G122">
        <f>B122*C122</f>
        <v>22.080000000000002</v>
      </c>
      <c r="H122">
        <f t="shared" si="2"/>
        <v>13.11</v>
      </c>
      <c r="I122" t="str">
        <f t="shared" si="3"/>
        <v>Grande</v>
      </c>
    </row>
    <row r="123" spans="1:9" x14ac:dyDescent="0.35">
      <c r="A123">
        <v>122</v>
      </c>
      <c r="B123">
        <v>5.6</v>
      </c>
      <c r="C123">
        <v>2.8</v>
      </c>
      <c r="D123">
        <v>4.9000000000000004</v>
      </c>
      <c r="E123">
        <v>2</v>
      </c>
      <c r="F123" s="8" t="s">
        <v>2</v>
      </c>
      <c r="G123">
        <f>B123*C123</f>
        <v>15.679999999999998</v>
      </c>
      <c r="H123">
        <f t="shared" si="2"/>
        <v>9.8000000000000007</v>
      </c>
      <c r="I123" t="str">
        <f t="shared" si="3"/>
        <v>Grande</v>
      </c>
    </row>
    <row r="124" spans="1:9" x14ac:dyDescent="0.35">
      <c r="A124">
        <v>123</v>
      </c>
      <c r="B124">
        <v>7.7</v>
      </c>
      <c r="C124">
        <v>2.8</v>
      </c>
      <c r="D124">
        <v>6.7</v>
      </c>
      <c r="E124">
        <v>2</v>
      </c>
      <c r="F124" s="8" t="s">
        <v>2</v>
      </c>
      <c r="G124">
        <f>B124*C124</f>
        <v>21.56</v>
      </c>
      <c r="H124">
        <f t="shared" si="2"/>
        <v>13.4</v>
      </c>
      <c r="I124" t="str">
        <f t="shared" si="3"/>
        <v>Grande</v>
      </c>
    </row>
    <row r="125" spans="1:9" x14ac:dyDescent="0.35">
      <c r="A125">
        <v>124</v>
      </c>
      <c r="B125">
        <v>6.3</v>
      </c>
      <c r="C125">
        <v>2.7</v>
      </c>
      <c r="D125">
        <v>4.9000000000000004</v>
      </c>
      <c r="E125">
        <v>1.8</v>
      </c>
      <c r="F125" s="8" t="s">
        <v>2</v>
      </c>
      <c r="G125">
        <f>B125*C125</f>
        <v>17.010000000000002</v>
      </c>
      <c r="H125">
        <f t="shared" si="2"/>
        <v>8.82</v>
      </c>
      <c r="I125" t="str">
        <f t="shared" si="3"/>
        <v>Grande</v>
      </c>
    </row>
    <row r="126" spans="1:9" x14ac:dyDescent="0.35">
      <c r="A126">
        <v>125</v>
      </c>
      <c r="B126">
        <v>6.7</v>
      </c>
      <c r="C126">
        <v>3.3</v>
      </c>
      <c r="D126">
        <v>5.7</v>
      </c>
      <c r="E126">
        <v>2.1</v>
      </c>
      <c r="F126" s="8" t="s">
        <v>2</v>
      </c>
      <c r="G126">
        <f>B126*C126</f>
        <v>22.11</v>
      </c>
      <c r="H126">
        <f t="shared" si="2"/>
        <v>11.97</v>
      </c>
      <c r="I126" t="str">
        <f t="shared" si="3"/>
        <v>Grande</v>
      </c>
    </row>
    <row r="127" spans="1:9" x14ac:dyDescent="0.35">
      <c r="A127">
        <v>126</v>
      </c>
      <c r="B127">
        <v>7.2</v>
      </c>
      <c r="C127">
        <v>3.2</v>
      </c>
      <c r="D127">
        <v>6</v>
      </c>
      <c r="E127">
        <v>1.8</v>
      </c>
      <c r="F127" s="8" t="s">
        <v>2</v>
      </c>
      <c r="G127">
        <f>B127*C127</f>
        <v>23.040000000000003</v>
      </c>
      <c r="H127">
        <f t="shared" si="2"/>
        <v>10.8</v>
      </c>
      <c r="I127" t="str">
        <f t="shared" si="3"/>
        <v>Grande</v>
      </c>
    </row>
    <row r="128" spans="1:9" x14ac:dyDescent="0.35">
      <c r="A128">
        <v>127</v>
      </c>
      <c r="B128">
        <v>6.2</v>
      </c>
      <c r="C128">
        <v>2.8</v>
      </c>
      <c r="D128">
        <v>4.8</v>
      </c>
      <c r="E128">
        <v>1.8</v>
      </c>
      <c r="F128" s="8" t="s">
        <v>2</v>
      </c>
      <c r="G128">
        <f>B128*C128</f>
        <v>17.36</v>
      </c>
      <c r="H128">
        <f t="shared" si="2"/>
        <v>8.64</v>
      </c>
      <c r="I128" t="str">
        <f t="shared" si="3"/>
        <v>Grande</v>
      </c>
    </row>
    <row r="129" spans="1:13" x14ac:dyDescent="0.35">
      <c r="A129">
        <v>128</v>
      </c>
      <c r="B129">
        <v>6.1</v>
      </c>
      <c r="C129">
        <v>3</v>
      </c>
      <c r="D129">
        <v>4.9000000000000004</v>
      </c>
      <c r="E129">
        <v>1.8</v>
      </c>
      <c r="F129" s="8" t="s">
        <v>2</v>
      </c>
      <c r="G129">
        <f>B129*C129</f>
        <v>18.299999999999997</v>
      </c>
      <c r="H129">
        <f t="shared" si="2"/>
        <v>8.82</v>
      </c>
      <c r="I129" t="str">
        <f t="shared" si="3"/>
        <v>Grande</v>
      </c>
    </row>
    <row r="130" spans="1:13" x14ac:dyDescent="0.35">
      <c r="A130">
        <v>129</v>
      </c>
      <c r="B130">
        <v>6.4</v>
      </c>
      <c r="C130">
        <v>2.8</v>
      </c>
      <c r="D130">
        <v>5.6</v>
      </c>
      <c r="E130">
        <v>2.1</v>
      </c>
      <c r="F130" s="8" t="s">
        <v>2</v>
      </c>
      <c r="G130">
        <f>B130*C130</f>
        <v>17.919999999999998</v>
      </c>
      <c r="H130">
        <f t="shared" si="2"/>
        <v>11.76</v>
      </c>
      <c r="I130" t="str">
        <f t="shared" si="3"/>
        <v>Grande</v>
      </c>
    </row>
    <row r="131" spans="1:13" x14ac:dyDescent="0.35">
      <c r="A131">
        <v>130</v>
      </c>
      <c r="B131">
        <v>7.2</v>
      </c>
      <c r="C131">
        <v>3</v>
      </c>
      <c r="D131">
        <v>5.8</v>
      </c>
      <c r="E131">
        <v>1.6</v>
      </c>
      <c r="F131" s="8" t="s">
        <v>2</v>
      </c>
      <c r="G131">
        <f>B131*C131</f>
        <v>21.6</v>
      </c>
      <c r="H131">
        <f t="shared" ref="H131:H151" si="4">D131*E131</f>
        <v>9.2799999999999994</v>
      </c>
      <c r="I131" t="str">
        <f t="shared" ref="I131:I151" si="5">IF(H131&lt;2,"Petite",IF(H131&lt;5,"Moyenne","Grande"))</f>
        <v>Grande</v>
      </c>
    </row>
    <row r="132" spans="1:13" x14ac:dyDescent="0.35">
      <c r="A132">
        <v>131</v>
      </c>
      <c r="B132">
        <v>7.4</v>
      </c>
      <c r="C132">
        <v>2.8</v>
      </c>
      <c r="D132">
        <v>6.1</v>
      </c>
      <c r="E132">
        <v>1.9</v>
      </c>
      <c r="F132" s="8" t="s">
        <v>2</v>
      </c>
      <c r="G132">
        <f>B132*C132</f>
        <v>20.72</v>
      </c>
      <c r="H132">
        <f t="shared" si="4"/>
        <v>11.589999999999998</v>
      </c>
      <c r="I132" t="str">
        <f t="shared" si="5"/>
        <v>Grande</v>
      </c>
    </row>
    <row r="133" spans="1:13" x14ac:dyDescent="0.35">
      <c r="A133">
        <v>132</v>
      </c>
      <c r="B133">
        <v>7.9</v>
      </c>
      <c r="C133">
        <v>3.8</v>
      </c>
      <c r="D133">
        <v>6.4</v>
      </c>
      <c r="E133">
        <v>2</v>
      </c>
      <c r="F133" s="8" t="s">
        <v>2</v>
      </c>
      <c r="G133">
        <f>B133*C133</f>
        <v>30.02</v>
      </c>
      <c r="H133">
        <f t="shared" si="4"/>
        <v>12.8</v>
      </c>
      <c r="I133" t="str">
        <f t="shared" si="5"/>
        <v>Grande</v>
      </c>
    </row>
    <row r="134" spans="1:13" x14ac:dyDescent="0.35">
      <c r="A134">
        <v>133</v>
      </c>
      <c r="B134">
        <v>6.4</v>
      </c>
      <c r="C134">
        <v>2.8</v>
      </c>
      <c r="D134">
        <v>5.6</v>
      </c>
      <c r="E134">
        <v>2.2000000000000002</v>
      </c>
      <c r="F134" s="8" t="s">
        <v>2</v>
      </c>
      <c r="G134">
        <f>B134*C134</f>
        <v>17.919999999999998</v>
      </c>
      <c r="H134">
        <f t="shared" si="4"/>
        <v>12.32</v>
      </c>
      <c r="I134" t="str">
        <f t="shared" si="5"/>
        <v>Grande</v>
      </c>
    </row>
    <row r="135" spans="1:13" x14ac:dyDescent="0.35">
      <c r="A135">
        <v>134</v>
      </c>
      <c r="B135">
        <v>6.3</v>
      </c>
      <c r="C135">
        <v>2.8</v>
      </c>
      <c r="D135">
        <v>5.0999999999999996</v>
      </c>
      <c r="E135">
        <v>1.5</v>
      </c>
      <c r="F135" s="8" t="s">
        <v>2</v>
      </c>
      <c r="G135">
        <f>B135*C135</f>
        <v>17.639999999999997</v>
      </c>
      <c r="H135">
        <f t="shared" si="4"/>
        <v>7.6499999999999995</v>
      </c>
      <c r="I135" t="str">
        <f t="shared" si="5"/>
        <v>Grande</v>
      </c>
    </row>
    <row r="136" spans="1:13" x14ac:dyDescent="0.35">
      <c r="A136">
        <v>135</v>
      </c>
      <c r="B136">
        <v>6.1</v>
      </c>
      <c r="C136">
        <v>2.6</v>
      </c>
      <c r="D136">
        <v>5.6</v>
      </c>
      <c r="E136">
        <v>1.4</v>
      </c>
      <c r="F136" s="8" t="s">
        <v>2</v>
      </c>
      <c r="G136">
        <f>B136*C136</f>
        <v>15.86</v>
      </c>
      <c r="H136">
        <f t="shared" si="4"/>
        <v>7.839999999999999</v>
      </c>
      <c r="I136" t="str">
        <f t="shared" si="5"/>
        <v>Grande</v>
      </c>
    </row>
    <row r="137" spans="1:13" x14ac:dyDescent="0.35">
      <c r="A137">
        <v>136</v>
      </c>
      <c r="B137">
        <v>7.7</v>
      </c>
      <c r="C137">
        <v>3</v>
      </c>
      <c r="D137">
        <v>6.1</v>
      </c>
      <c r="E137">
        <v>2.2999999999999998</v>
      </c>
      <c r="F137" s="8" t="s">
        <v>2</v>
      </c>
      <c r="G137">
        <f>B137*C137</f>
        <v>23.1</v>
      </c>
      <c r="H137">
        <f t="shared" si="4"/>
        <v>14.029999999999998</v>
      </c>
      <c r="I137" t="str">
        <f t="shared" si="5"/>
        <v>Grande</v>
      </c>
    </row>
    <row r="138" spans="1:13" x14ac:dyDescent="0.35">
      <c r="A138">
        <v>137</v>
      </c>
      <c r="B138">
        <v>6.3</v>
      </c>
      <c r="C138">
        <v>3.4</v>
      </c>
      <c r="D138">
        <v>5.6</v>
      </c>
      <c r="E138">
        <v>2.4</v>
      </c>
      <c r="F138" s="8" t="s">
        <v>2</v>
      </c>
      <c r="G138">
        <f>B138*C138</f>
        <v>21.419999999999998</v>
      </c>
      <c r="H138">
        <f t="shared" si="4"/>
        <v>13.44</v>
      </c>
      <c r="I138" t="str">
        <f t="shared" si="5"/>
        <v>Grande</v>
      </c>
    </row>
    <row r="139" spans="1:13" x14ac:dyDescent="0.35">
      <c r="A139">
        <v>138</v>
      </c>
      <c r="B139">
        <v>6.4</v>
      </c>
      <c r="C139">
        <v>3.1</v>
      </c>
      <c r="D139">
        <v>5.5</v>
      </c>
      <c r="E139">
        <v>1.8</v>
      </c>
      <c r="F139" s="8" t="s">
        <v>2</v>
      </c>
      <c r="G139">
        <f>B139*C139</f>
        <v>19.840000000000003</v>
      </c>
      <c r="H139">
        <f t="shared" si="4"/>
        <v>9.9</v>
      </c>
      <c r="I139" t="str">
        <f t="shared" si="5"/>
        <v>Grande</v>
      </c>
      <c r="M139">
        <f>MEDIAN(B2:B151)</f>
        <v>5.8</v>
      </c>
    </row>
    <row r="140" spans="1:13" x14ac:dyDescent="0.35">
      <c r="A140">
        <v>139</v>
      </c>
      <c r="B140">
        <v>6</v>
      </c>
      <c r="C140">
        <v>3</v>
      </c>
      <c r="D140">
        <v>4.8</v>
      </c>
      <c r="E140">
        <v>1.8</v>
      </c>
      <c r="F140" s="8" t="s">
        <v>2</v>
      </c>
      <c r="G140">
        <f>B140*C140</f>
        <v>18</v>
      </c>
      <c r="H140">
        <f t="shared" si="4"/>
        <v>8.64</v>
      </c>
      <c r="I140" t="str">
        <f t="shared" si="5"/>
        <v>Grande</v>
      </c>
    </row>
    <row r="141" spans="1:13" x14ac:dyDescent="0.35">
      <c r="A141">
        <v>140</v>
      </c>
      <c r="B141">
        <v>6.9</v>
      </c>
      <c r="C141">
        <v>3.1</v>
      </c>
      <c r="D141">
        <v>5.4</v>
      </c>
      <c r="E141">
        <v>2.1</v>
      </c>
      <c r="F141" s="8" t="s">
        <v>2</v>
      </c>
      <c r="G141">
        <f>B141*C141</f>
        <v>21.39</v>
      </c>
      <c r="H141">
        <f t="shared" si="4"/>
        <v>11.340000000000002</v>
      </c>
      <c r="I141" t="str">
        <f t="shared" si="5"/>
        <v>Grande</v>
      </c>
    </row>
    <row r="142" spans="1:13" x14ac:dyDescent="0.35">
      <c r="A142">
        <v>141</v>
      </c>
      <c r="B142">
        <v>6.7</v>
      </c>
      <c r="C142">
        <v>3.1</v>
      </c>
      <c r="D142">
        <v>5.6</v>
      </c>
      <c r="E142">
        <v>2.4</v>
      </c>
      <c r="F142" s="8" t="s">
        <v>2</v>
      </c>
      <c r="G142">
        <f>B142*C142</f>
        <v>20.77</v>
      </c>
      <c r="H142">
        <f t="shared" si="4"/>
        <v>13.44</v>
      </c>
      <c r="I142" t="str">
        <f t="shared" si="5"/>
        <v>Grande</v>
      </c>
    </row>
    <row r="143" spans="1:13" x14ac:dyDescent="0.35">
      <c r="A143">
        <v>142</v>
      </c>
      <c r="B143">
        <v>6.9</v>
      </c>
      <c r="C143">
        <v>3.1</v>
      </c>
      <c r="D143">
        <v>5.0999999999999996</v>
      </c>
      <c r="E143">
        <v>2.2999999999999998</v>
      </c>
      <c r="F143" s="8" t="s">
        <v>2</v>
      </c>
      <c r="G143">
        <f>B143*C143</f>
        <v>21.39</v>
      </c>
      <c r="H143">
        <f t="shared" si="4"/>
        <v>11.729999999999999</v>
      </c>
      <c r="I143" t="str">
        <f t="shared" si="5"/>
        <v>Grande</v>
      </c>
    </row>
    <row r="144" spans="1:13" x14ac:dyDescent="0.35">
      <c r="A144">
        <v>143</v>
      </c>
      <c r="B144">
        <v>5.8</v>
      </c>
      <c r="C144">
        <v>2.7</v>
      </c>
      <c r="D144">
        <v>5.0999999999999996</v>
      </c>
      <c r="E144">
        <v>1.9</v>
      </c>
      <c r="F144" s="8" t="s">
        <v>2</v>
      </c>
      <c r="G144">
        <f>B144*C144</f>
        <v>15.66</v>
      </c>
      <c r="H144">
        <f t="shared" si="4"/>
        <v>9.69</v>
      </c>
      <c r="I144" t="str">
        <f t="shared" si="5"/>
        <v>Grande</v>
      </c>
    </row>
    <row r="145" spans="1:9" x14ac:dyDescent="0.35">
      <c r="A145">
        <v>144</v>
      </c>
      <c r="B145">
        <v>6.8</v>
      </c>
      <c r="C145">
        <v>3.2</v>
      </c>
      <c r="D145">
        <v>5.9</v>
      </c>
      <c r="E145">
        <v>2.2999999999999998</v>
      </c>
      <c r="F145" s="8" t="s">
        <v>2</v>
      </c>
      <c r="G145">
        <f>B145*C145</f>
        <v>21.76</v>
      </c>
      <c r="H145">
        <f t="shared" si="4"/>
        <v>13.57</v>
      </c>
      <c r="I145" t="str">
        <f t="shared" si="5"/>
        <v>Grande</v>
      </c>
    </row>
    <row r="146" spans="1:9" x14ac:dyDescent="0.35">
      <c r="A146">
        <v>145</v>
      </c>
      <c r="B146">
        <v>6.7</v>
      </c>
      <c r="C146">
        <v>3.3</v>
      </c>
      <c r="D146">
        <v>5.7</v>
      </c>
      <c r="E146">
        <v>2.5</v>
      </c>
      <c r="F146" s="8" t="s">
        <v>2</v>
      </c>
      <c r="G146">
        <f>B146*C146</f>
        <v>22.11</v>
      </c>
      <c r="H146">
        <f t="shared" si="4"/>
        <v>14.25</v>
      </c>
      <c r="I146" t="str">
        <f t="shared" si="5"/>
        <v>Grande</v>
      </c>
    </row>
    <row r="147" spans="1:9" x14ac:dyDescent="0.35">
      <c r="A147">
        <v>146</v>
      </c>
      <c r="B147">
        <v>6.7</v>
      </c>
      <c r="C147">
        <v>3</v>
      </c>
      <c r="D147">
        <v>5.2</v>
      </c>
      <c r="E147">
        <v>2.2999999999999998</v>
      </c>
      <c r="F147" s="8" t="s">
        <v>2</v>
      </c>
      <c r="G147">
        <f>B147*C147</f>
        <v>20.100000000000001</v>
      </c>
      <c r="H147">
        <f t="shared" si="4"/>
        <v>11.959999999999999</v>
      </c>
      <c r="I147" t="str">
        <f t="shared" si="5"/>
        <v>Grande</v>
      </c>
    </row>
    <row r="148" spans="1:9" x14ac:dyDescent="0.35">
      <c r="A148">
        <v>147</v>
      </c>
      <c r="B148">
        <v>6.3</v>
      </c>
      <c r="C148">
        <v>2.5</v>
      </c>
      <c r="D148">
        <v>5</v>
      </c>
      <c r="E148">
        <v>1.9</v>
      </c>
      <c r="F148" s="8" t="s">
        <v>2</v>
      </c>
      <c r="G148">
        <f>B148*C148</f>
        <v>15.75</v>
      </c>
      <c r="H148">
        <f t="shared" si="4"/>
        <v>9.5</v>
      </c>
      <c r="I148" t="str">
        <f t="shared" si="5"/>
        <v>Grande</v>
      </c>
    </row>
    <row r="149" spans="1:9" x14ac:dyDescent="0.35">
      <c r="A149">
        <v>148</v>
      </c>
      <c r="B149">
        <v>6.5</v>
      </c>
      <c r="C149">
        <v>3</v>
      </c>
      <c r="D149">
        <v>5.2</v>
      </c>
      <c r="E149">
        <v>2</v>
      </c>
      <c r="F149" s="8" t="s">
        <v>2</v>
      </c>
      <c r="G149">
        <f>B149*C149</f>
        <v>19.5</v>
      </c>
      <c r="H149">
        <f t="shared" si="4"/>
        <v>10.4</v>
      </c>
      <c r="I149" t="str">
        <f t="shared" si="5"/>
        <v>Grande</v>
      </c>
    </row>
    <row r="150" spans="1:9" x14ac:dyDescent="0.35">
      <c r="A150">
        <v>149</v>
      </c>
      <c r="B150">
        <v>6.2</v>
      </c>
      <c r="C150">
        <v>3.4</v>
      </c>
      <c r="D150">
        <v>5.4</v>
      </c>
      <c r="E150">
        <v>2.2999999999999998</v>
      </c>
      <c r="F150" s="8" t="s">
        <v>2</v>
      </c>
      <c r="G150">
        <f>B150*C150</f>
        <v>21.08</v>
      </c>
      <c r="H150">
        <f t="shared" si="4"/>
        <v>12.42</v>
      </c>
      <c r="I150" t="str">
        <f t="shared" si="5"/>
        <v>Grande</v>
      </c>
    </row>
    <row r="151" spans="1:9" x14ac:dyDescent="0.35">
      <c r="A151">
        <v>150</v>
      </c>
      <c r="B151">
        <v>5.9</v>
      </c>
      <c r="C151">
        <v>3</v>
      </c>
      <c r="D151">
        <v>5.0999999999999996</v>
      </c>
      <c r="E151">
        <v>1.8</v>
      </c>
      <c r="F151" s="8" t="s">
        <v>2</v>
      </c>
      <c r="G151">
        <f>B151*C151</f>
        <v>17.700000000000003</v>
      </c>
      <c r="H151">
        <f t="shared" si="4"/>
        <v>9.18</v>
      </c>
      <c r="I151" t="str">
        <f t="shared" si="5"/>
        <v>Grande</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6"/>
  <sheetViews>
    <sheetView zoomScale="57" workbookViewId="0">
      <selection activeCell="B33" sqref="B33"/>
    </sheetView>
  </sheetViews>
  <sheetFormatPr baseColWidth="10" defaultRowHeight="14.5" x14ac:dyDescent="0.35"/>
  <cols>
    <col min="2" max="2" width="22.08984375" customWidth="1"/>
    <col min="3" max="3" width="30.26953125" customWidth="1"/>
    <col min="4" max="4" width="28.7265625" customWidth="1"/>
    <col min="5" max="5" width="32.1796875" customWidth="1"/>
    <col min="6" max="6" width="40.26953125" customWidth="1"/>
  </cols>
  <sheetData>
    <row r="1" spans="1:13" x14ac:dyDescent="0.35">
      <c r="A1" s="22" t="s">
        <v>12</v>
      </c>
      <c r="B1" s="22"/>
      <c r="C1" s="22"/>
      <c r="D1" s="22"/>
      <c r="E1" s="22"/>
      <c r="F1" s="22"/>
      <c r="G1" s="22"/>
      <c r="H1" s="22"/>
      <c r="I1" s="22"/>
      <c r="J1" s="22"/>
      <c r="K1" s="22"/>
      <c r="L1" s="22"/>
      <c r="M1" s="22"/>
    </row>
    <row r="4" spans="1:13" x14ac:dyDescent="0.35">
      <c r="A4" s="21" t="s">
        <v>13</v>
      </c>
      <c r="B4" s="21"/>
      <c r="C4" s="21"/>
      <c r="D4" s="21"/>
      <c r="E4" s="21"/>
      <c r="F4" s="21"/>
      <c r="G4" s="21"/>
      <c r="H4" s="21"/>
      <c r="I4" s="21"/>
      <c r="J4" s="21"/>
      <c r="K4" s="21"/>
      <c r="L4" s="21"/>
      <c r="M4" s="21"/>
    </row>
    <row r="6" spans="1:13" x14ac:dyDescent="0.35">
      <c r="D6" s="21" t="s">
        <v>14</v>
      </c>
      <c r="E6" s="21"/>
      <c r="F6" s="21"/>
      <c r="G6" s="21"/>
      <c r="H6" s="21"/>
      <c r="I6" s="21"/>
    </row>
    <row r="7" spans="1:13" ht="21" x14ac:dyDescent="0.5">
      <c r="C7" s="23" t="s">
        <v>22</v>
      </c>
      <c r="D7" s="24"/>
      <c r="E7" s="24"/>
    </row>
    <row r="8" spans="1:13" ht="7.5" customHeight="1" x14ac:dyDescent="0.35"/>
    <row r="9" spans="1:13" ht="23.5" customHeight="1" x14ac:dyDescent="0.45">
      <c r="B9" s="5"/>
      <c r="C9" s="6" t="s">
        <v>20</v>
      </c>
      <c r="D9" s="6" t="s">
        <v>21</v>
      </c>
      <c r="E9" s="6" t="s">
        <v>6</v>
      </c>
      <c r="F9" s="6" t="s">
        <v>7</v>
      </c>
      <c r="G9" s="21"/>
      <c r="H9" s="21"/>
    </row>
    <row r="10" spans="1:13" ht="21" customHeight="1" x14ac:dyDescent="0.45">
      <c r="B10" s="7" t="s">
        <v>18</v>
      </c>
      <c r="C10" s="4">
        <f>COUNT(donnees!B2:B151)</f>
        <v>150</v>
      </c>
      <c r="D10" s="4">
        <f>COUNT(donnees!C2:C151)</f>
        <v>150</v>
      </c>
      <c r="E10" s="4">
        <f>COUNT(donnees!D2:D151)</f>
        <v>150</v>
      </c>
      <c r="F10" s="4">
        <f>COUNT(donnees!E2:E151)</f>
        <v>150</v>
      </c>
      <c r="H10" s="2"/>
    </row>
    <row r="11" spans="1:13" ht="18.5" x14ac:dyDescent="0.45">
      <c r="B11" s="7" t="s">
        <v>16</v>
      </c>
      <c r="C11" s="4">
        <f>MIN(donnees!B2:B151)</f>
        <v>4.3</v>
      </c>
      <c r="D11" s="4">
        <f>MIN(donnees!C2:C151)</f>
        <v>2</v>
      </c>
      <c r="E11" s="4">
        <f>MIN(donnees!D2:D151)</f>
        <v>1</v>
      </c>
      <c r="F11" s="4">
        <f>MIN(donnees!E2:E151)</f>
        <v>0.1</v>
      </c>
    </row>
    <row r="12" spans="1:13" ht="18.5" x14ac:dyDescent="0.45">
      <c r="B12" s="7" t="s">
        <v>17</v>
      </c>
      <c r="C12" s="4">
        <f>MAX(donnees!B2:B151)</f>
        <v>7.9</v>
      </c>
      <c r="D12" s="4">
        <f>MAX(donnees!C2:C151)</f>
        <v>4.4000000000000004</v>
      </c>
      <c r="E12" s="4">
        <f>MAX(donnees!D2:D151)</f>
        <v>6.9</v>
      </c>
      <c r="F12" s="4">
        <f>MAX(donnees!E2:E151)</f>
        <v>2.5</v>
      </c>
    </row>
    <row r="13" spans="1:13" ht="18.5" x14ac:dyDescent="0.45">
      <c r="B13" s="7" t="s">
        <v>15</v>
      </c>
      <c r="C13" s="4">
        <f>AVERAGE(donnees!B2:B151)</f>
        <v>5.8433333333333346</v>
      </c>
      <c r="D13" s="4">
        <f>AVERAGE(donnees!C2:C151)</f>
        <v>3.0540000000000007</v>
      </c>
      <c r="E13" s="4">
        <f>AVERAGE(donnees!D2:D151)</f>
        <v>3.7586666666666693</v>
      </c>
      <c r="F13" s="4">
        <f>AVERAGE(donnees!E2:E151)</f>
        <v>1.1986666666666672</v>
      </c>
    </row>
    <row r="14" spans="1:13" ht="18.5" x14ac:dyDescent="0.45">
      <c r="B14" s="7" t="s">
        <v>19</v>
      </c>
      <c r="C14" s="4">
        <f>AVEDEV(donnees!B2:B151)</f>
        <v>0.68755555555555614</v>
      </c>
      <c r="D14" s="4">
        <f>AVEDEV(donnees!C2:C151)</f>
        <v>0.33309333333333352</v>
      </c>
      <c r="E14" s="4">
        <f>AVEDEV(donnees!D2:D151)</f>
        <v>1.5619199999999989</v>
      </c>
      <c r="F14" s="4">
        <f>AVEDEV(donnees!E2:E151)</f>
        <v>0.6589333333333327</v>
      </c>
    </row>
    <row r="17" spans="2:13" ht="21" x14ac:dyDescent="0.5">
      <c r="C17" s="25" t="s">
        <v>23</v>
      </c>
      <c r="D17" s="24"/>
      <c r="E17" s="24"/>
    </row>
    <row r="19" spans="2:13" ht="18.5" x14ac:dyDescent="0.45">
      <c r="B19" s="11" t="s">
        <v>24</v>
      </c>
      <c r="C19" s="12" t="s">
        <v>8</v>
      </c>
      <c r="D19" s="10" t="s">
        <v>24</v>
      </c>
      <c r="E19" s="13" t="s">
        <v>11</v>
      </c>
    </row>
    <row r="20" spans="2:13" ht="15.5" x14ac:dyDescent="0.35">
      <c r="B20" s="9" t="s">
        <v>29</v>
      </c>
      <c r="C20" s="15">
        <f>COUNTIF(donnees!F2:F151, "Iris-setosa")</f>
        <v>50</v>
      </c>
      <c r="D20" s="9" t="s">
        <v>26</v>
      </c>
      <c r="E20" s="15">
        <f>COUNTIF(donnees!I2:I151, "Petite")</f>
        <v>50</v>
      </c>
      <c r="I20" s="17"/>
    </row>
    <row r="21" spans="2:13" ht="15.5" x14ac:dyDescent="0.35">
      <c r="B21" s="9" t="s">
        <v>30</v>
      </c>
      <c r="C21" s="15">
        <f>COUNTIF(donnees!F2:F151, "Iris-versicolor")</f>
        <v>50</v>
      </c>
      <c r="D21" s="9" t="s">
        <v>27</v>
      </c>
      <c r="E21" s="15">
        <f>COUNTIF(donnees!I2:I151, "Moyenne")</f>
        <v>13</v>
      </c>
    </row>
    <row r="22" spans="2:13" ht="15.5" x14ac:dyDescent="0.35">
      <c r="B22" s="9" t="s">
        <v>31</v>
      </c>
      <c r="C22" s="15">
        <f>COUNTIF(donnees!F2:F151, "Iris-virginica")</f>
        <v>50</v>
      </c>
      <c r="D22" s="9" t="s">
        <v>28</v>
      </c>
      <c r="E22" s="15">
        <f>COUNTIF(donnees!I2:I151, "grande")</f>
        <v>87</v>
      </c>
    </row>
    <row r="28" spans="2:13" x14ac:dyDescent="0.35">
      <c r="D28" s="20" t="s">
        <v>32</v>
      </c>
      <c r="E28" s="21"/>
      <c r="F28" s="21"/>
      <c r="G28" s="21"/>
      <c r="H28" s="21"/>
      <c r="I28" s="21"/>
      <c r="J28" s="21"/>
      <c r="K28" s="21"/>
      <c r="L28" s="21"/>
      <c r="M28" s="21"/>
    </row>
    <row r="29" spans="2:13" x14ac:dyDescent="0.35">
      <c r="D29" s="20"/>
      <c r="E29" s="21"/>
      <c r="F29" s="21"/>
      <c r="G29" s="21"/>
      <c r="H29" s="21"/>
      <c r="I29" s="21"/>
      <c r="J29" s="21"/>
      <c r="K29" s="21"/>
      <c r="L29" s="21"/>
      <c r="M29" s="21"/>
    </row>
    <row r="30" spans="2:13" x14ac:dyDescent="0.35">
      <c r="D30" s="21"/>
      <c r="E30" s="21"/>
      <c r="F30" s="21"/>
      <c r="G30" s="21"/>
      <c r="H30" s="21"/>
      <c r="I30" s="21"/>
      <c r="J30" s="21"/>
      <c r="K30" s="21"/>
      <c r="L30" s="21"/>
      <c r="M30" s="21"/>
    </row>
    <row r="31" spans="2:13" x14ac:dyDescent="0.35">
      <c r="D31" s="3"/>
      <c r="E31" s="3"/>
      <c r="F31" s="3"/>
      <c r="G31" s="3"/>
      <c r="H31" s="3"/>
      <c r="I31" s="3"/>
      <c r="J31" s="3"/>
      <c r="K31" s="3"/>
      <c r="L31" s="3"/>
      <c r="M31" s="3"/>
    </row>
    <row r="32" spans="2:13" x14ac:dyDescent="0.35">
      <c r="D32" s="3"/>
      <c r="E32" s="3"/>
      <c r="F32" s="3"/>
      <c r="G32" s="3"/>
      <c r="H32" s="3"/>
      <c r="I32" s="3"/>
      <c r="J32" s="3"/>
      <c r="K32" s="3"/>
      <c r="L32" s="3"/>
      <c r="M32" s="3"/>
    </row>
    <row r="33" spans="4:13" x14ac:dyDescent="0.35">
      <c r="D33" s="3"/>
      <c r="E33" s="3"/>
      <c r="F33" s="3"/>
      <c r="G33" s="3"/>
      <c r="H33" s="3"/>
      <c r="I33" s="3"/>
      <c r="J33" s="3"/>
      <c r="K33" s="3"/>
      <c r="L33" s="3"/>
      <c r="M33" s="3"/>
    </row>
    <row r="34" spans="4:13" x14ac:dyDescent="0.35">
      <c r="D34" s="3"/>
      <c r="E34" s="3"/>
      <c r="F34" s="3"/>
      <c r="G34" s="3"/>
      <c r="H34" s="3"/>
      <c r="I34" s="3"/>
      <c r="J34" s="3"/>
      <c r="K34" s="3"/>
      <c r="L34" s="3"/>
      <c r="M34" s="3"/>
    </row>
    <row r="35" spans="4:13" x14ac:dyDescent="0.35">
      <c r="D35" s="3"/>
      <c r="E35" s="3"/>
      <c r="F35" s="3"/>
      <c r="G35" s="3"/>
      <c r="H35" s="3"/>
      <c r="I35" s="3"/>
      <c r="J35" s="3"/>
      <c r="K35" s="3"/>
      <c r="L35" s="3"/>
      <c r="M35" s="3"/>
    </row>
    <row r="36" spans="4:13" x14ac:dyDescent="0.35">
      <c r="D36" s="3"/>
      <c r="E36" s="3"/>
      <c r="F36" s="3"/>
      <c r="G36" s="3"/>
      <c r="H36" s="3"/>
      <c r="I36" s="3"/>
      <c r="J36" s="3"/>
      <c r="K36" s="3"/>
      <c r="L36" s="3"/>
      <c r="M36" s="3"/>
    </row>
    <row r="37" spans="4:13" x14ac:dyDescent="0.35">
      <c r="D37" s="3"/>
      <c r="E37" s="3"/>
      <c r="F37" s="3"/>
      <c r="G37" s="3"/>
      <c r="H37" s="3"/>
      <c r="I37" s="3"/>
      <c r="J37" s="3"/>
      <c r="K37" s="3"/>
      <c r="L37" s="3"/>
      <c r="M37" s="3"/>
    </row>
    <row r="38" spans="4:13" x14ac:dyDescent="0.35">
      <c r="D38" s="3"/>
      <c r="E38" s="3"/>
      <c r="F38" s="3"/>
      <c r="G38" s="3"/>
      <c r="H38" s="3"/>
      <c r="I38" s="3"/>
      <c r="J38" s="3"/>
      <c r="K38" s="3"/>
      <c r="L38" s="3"/>
      <c r="M38" s="3"/>
    </row>
    <row r="39" spans="4:13" x14ac:dyDescent="0.35">
      <c r="D39" s="3"/>
      <c r="E39" s="3"/>
      <c r="F39" s="3"/>
      <c r="G39" s="3"/>
      <c r="H39" s="3"/>
      <c r="I39" s="3"/>
      <c r="J39" s="3"/>
      <c r="K39" s="3"/>
      <c r="L39" s="3"/>
      <c r="M39" s="3"/>
    </row>
    <row r="40" spans="4:13" x14ac:dyDescent="0.35">
      <c r="D40" s="3"/>
      <c r="E40" s="3"/>
      <c r="F40" s="3"/>
      <c r="G40" s="3"/>
      <c r="H40" s="3"/>
      <c r="I40" s="3"/>
      <c r="J40" s="3"/>
      <c r="K40" s="3"/>
      <c r="L40" s="3"/>
      <c r="M40" s="3"/>
    </row>
    <row r="41" spans="4:13" x14ac:dyDescent="0.35">
      <c r="D41" s="3"/>
      <c r="E41" s="3"/>
      <c r="F41" s="3"/>
      <c r="G41" s="3"/>
      <c r="H41" s="3"/>
      <c r="I41" s="3"/>
      <c r="J41" s="3"/>
      <c r="K41" s="3"/>
      <c r="L41" s="3"/>
      <c r="M41" s="3"/>
    </row>
    <row r="42" spans="4:13" x14ac:dyDescent="0.35">
      <c r="D42" s="3"/>
      <c r="E42" s="3"/>
      <c r="F42" s="3"/>
      <c r="G42" s="3"/>
      <c r="H42" s="3"/>
      <c r="I42" s="3"/>
      <c r="J42" s="3"/>
      <c r="K42" s="3"/>
      <c r="L42" s="3"/>
      <c r="M42" s="3"/>
    </row>
    <row r="43" spans="4:13" x14ac:dyDescent="0.35">
      <c r="D43" s="3"/>
      <c r="E43" s="3"/>
      <c r="F43" s="3"/>
      <c r="G43" s="3"/>
      <c r="H43" s="3"/>
      <c r="I43" s="3"/>
      <c r="J43" s="3"/>
      <c r="K43" s="3"/>
      <c r="L43" s="3"/>
      <c r="M43" s="3"/>
    </row>
    <row r="44" spans="4:13" x14ac:dyDescent="0.35">
      <c r="D44" s="3"/>
      <c r="E44" s="3"/>
      <c r="F44" s="3"/>
      <c r="G44" s="3"/>
      <c r="H44" s="3"/>
      <c r="I44" s="3"/>
      <c r="J44" s="3"/>
      <c r="K44" s="3"/>
      <c r="L44" s="3"/>
      <c r="M44" s="3"/>
    </row>
    <row r="45" spans="4:13" x14ac:dyDescent="0.35">
      <c r="D45" s="3"/>
      <c r="E45" s="3"/>
      <c r="F45" s="3"/>
      <c r="G45" s="3"/>
      <c r="H45" s="3"/>
      <c r="I45" s="3"/>
      <c r="J45" s="3"/>
      <c r="K45" s="3"/>
      <c r="L45" s="3"/>
      <c r="M45" s="3"/>
    </row>
    <row r="46" spans="4:13" x14ac:dyDescent="0.35">
      <c r="D46" s="3"/>
      <c r="E46" s="3"/>
      <c r="F46" s="3"/>
      <c r="G46" s="3"/>
      <c r="H46" s="3"/>
      <c r="I46" s="3"/>
      <c r="J46" s="3"/>
      <c r="K46" s="3"/>
      <c r="L46" s="3"/>
      <c r="M46" s="3"/>
    </row>
    <row r="47" spans="4:13" x14ac:dyDescent="0.35">
      <c r="D47" s="3"/>
      <c r="E47" s="3"/>
      <c r="F47" s="3"/>
      <c r="G47" s="3"/>
      <c r="H47" s="3"/>
      <c r="I47" s="3"/>
      <c r="J47" s="3"/>
      <c r="K47" s="3"/>
      <c r="L47" s="3"/>
      <c r="M47" s="3"/>
    </row>
    <row r="48" spans="4:13" x14ac:dyDescent="0.35">
      <c r="D48" s="3"/>
      <c r="E48" s="3"/>
      <c r="F48" s="3"/>
      <c r="G48" s="3"/>
      <c r="H48" s="3"/>
      <c r="I48" s="3"/>
      <c r="J48" s="3"/>
      <c r="K48" s="3"/>
      <c r="L48" s="3"/>
      <c r="M48" s="3"/>
    </row>
    <row r="49" spans="4:13" x14ac:dyDescent="0.35">
      <c r="D49" s="3"/>
      <c r="E49" s="3"/>
      <c r="F49" s="3"/>
      <c r="G49" s="3"/>
      <c r="H49" s="3"/>
      <c r="I49" s="3"/>
      <c r="J49" s="3"/>
      <c r="K49" s="3"/>
      <c r="L49" s="3"/>
      <c r="M49" s="3"/>
    </row>
    <row r="50" spans="4:13" x14ac:dyDescent="0.35">
      <c r="D50" s="3"/>
      <c r="E50" s="3"/>
      <c r="F50" s="3"/>
      <c r="G50" s="3"/>
      <c r="H50" s="3"/>
      <c r="I50" s="3"/>
      <c r="J50" s="3"/>
      <c r="K50" s="3"/>
      <c r="L50" s="3"/>
      <c r="M50" s="3"/>
    </row>
    <row r="51" spans="4:13" x14ac:dyDescent="0.35">
      <c r="D51" s="3"/>
      <c r="E51" s="3"/>
      <c r="F51" s="3"/>
      <c r="G51" s="3"/>
      <c r="H51" s="3"/>
      <c r="I51" s="3"/>
      <c r="J51" s="3"/>
      <c r="K51" s="3"/>
      <c r="L51" s="3"/>
      <c r="M51" s="3"/>
    </row>
    <row r="52" spans="4:13" x14ac:dyDescent="0.35">
      <c r="D52" s="3"/>
      <c r="E52" s="3"/>
      <c r="F52" s="3"/>
      <c r="G52" s="3"/>
      <c r="H52" s="3"/>
      <c r="I52" s="3"/>
      <c r="J52" s="3"/>
      <c r="K52" s="3"/>
      <c r="L52" s="3"/>
      <c r="M52" s="3"/>
    </row>
    <row r="53" spans="4:13" x14ac:dyDescent="0.35">
      <c r="D53" s="3"/>
      <c r="E53" s="3"/>
      <c r="F53" s="3"/>
      <c r="G53" s="3"/>
      <c r="H53" s="3"/>
      <c r="I53" s="3"/>
      <c r="J53" s="3"/>
      <c r="K53" s="3"/>
      <c r="L53" s="3"/>
      <c r="M53" s="3"/>
    </row>
    <row r="54" spans="4:13" x14ac:dyDescent="0.35">
      <c r="D54" s="3"/>
      <c r="E54" s="3"/>
      <c r="F54" s="3"/>
      <c r="G54" s="3"/>
      <c r="H54" s="3"/>
      <c r="I54" s="3"/>
      <c r="J54" s="3"/>
      <c r="K54" s="3"/>
      <c r="L54" s="3"/>
      <c r="M54" s="3"/>
    </row>
    <row r="55" spans="4:13" x14ac:dyDescent="0.35">
      <c r="D55" s="3"/>
      <c r="E55" s="3"/>
      <c r="F55" s="3"/>
      <c r="G55" s="3"/>
      <c r="H55" s="3"/>
      <c r="I55" s="3"/>
      <c r="J55" s="3"/>
      <c r="K55" s="3"/>
      <c r="L55" s="3"/>
      <c r="M55" s="3"/>
    </row>
    <row r="56" spans="4:13" x14ac:dyDescent="0.35">
      <c r="D56" s="3"/>
      <c r="E56" s="3"/>
      <c r="F56" s="3"/>
      <c r="G56" s="3"/>
      <c r="H56" s="3"/>
      <c r="I56" s="3"/>
      <c r="J56" s="3"/>
      <c r="K56" s="3"/>
      <c r="L56" s="3"/>
      <c r="M56" s="3"/>
    </row>
    <row r="57" spans="4:13" x14ac:dyDescent="0.35">
      <c r="D57" s="3"/>
      <c r="E57" s="3"/>
      <c r="F57" s="3"/>
      <c r="G57" s="3"/>
      <c r="H57" s="3"/>
      <c r="I57" s="3"/>
      <c r="J57" s="3"/>
      <c r="K57" s="3"/>
      <c r="L57" s="3"/>
      <c r="M57" s="3"/>
    </row>
    <row r="58" spans="4:13" x14ac:dyDescent="0.35">
      <c r="D58" s="3"/>
      <c r="E58" s="3"/>
      <c r="F58" s="3"/>
      <c r="G58" s="3"/>
      <c r="H58" s="3"/>
      <c r="I58" s="3"/>
      <c r="J58" s="3"/>
      <c r="K58" s="3"/>
      <c r="L58" s="3"/>
      <c r="M58" s="3"/>
    </row>
    <row r="59" spans="4:13" x14ac:dyDescent="0.35">
      <c r="D59" s="3"/>
      <c r="E59" s="3"/>
      <c r="F59" s="3"/>
      <c r="G59" s="3"/>
      <c r="H59" s="3"/>
      <c r="I59" s="3"/>
      <c r="J59" s="3"/>
      <c r="K59" s="3"/>
      <c r="L59" s="3"/>
      <c r="M59" s="3"/>
    </row>
    <row r="60" spans="4:13" x14ac:dyDescent="0.35">
      <c r="D60" s="3"/>
      <c r="E60" s="3"/>
      <c r="F60" s="3"/>
      <c r="G60" s="3"/>
      <c r="H60" s="3"/>
      <c r="I60" s="3"/>
      <c r="J60" s="3"/>
      <c r="K60" s="3"/>
      <c r="L60" s="3"/>
      <c r="M60" s="3"/>
    </row>
    <row r="61" spans="4:13" x14ac:dyDescent="0.35">
      <c r="D61" s="3"/>
      <c r="E61" s="3"/>
      <c r="F61" s="3"/>
      <c r="G61" s="3"/>
      <c r="H61" s="3"/>
      <c r="I61" s="3"/>
      <c r="J61" s="3"/>
      <c r="K61" s="3"/>
      <c r="L61" s="3"/>
      <c r="M61" s="3"/>
    </row>
    <row r="62" spans="4:13" x14ac:dyDescent="0.35">
      <c r="D62" s="3"/>
      <c r="E62" s="3"/>
      <c r="F62" s="3"/>
      <c r="G62" s="3"/>
      <c r="H62" s="3"/>
      <c r="I62" s="3"/>
      <c r="J62" s="3"/>
      <c r="K62" s="3"/>
      <c r="L62" s="3"/>
      <c r="M62" s="3"/>
    </row>
    <row r="63" spans="4:13" x14ac:dyDescent="0.35">
      <c r="D63" s="3"/>
      <c r="E63" s="3"/>
      <c r="F63" s="3"/>
      <c r="G63" s="3"/>
      <c r="H63" s="3"/>
      <c r="I63" s="3"/>
      <c r="J63" s="3"/>
      <c r="K63" s="3"/>
      <c r="L63" s="3"/>
      <c r="M63" s="3"/>
    </row>
    <row r="64" spans="4:13" x14ac:dyDescent="0.35">
      <c r="D64" s="3"/>
      <c r="E64" s="3"/>
      <c r="F64" s="3"/>
      <c r="G64" s="3"/>
      <c r="H64" s="3"/>
      <c r="I64" s="3"/>
      <c r="J64" s="3"/>
      <c r="K64" s="3"/>
      <c r="L64" s="3"/>
      <c r="M64" s="3"/>
    </row>
    <row r="65" spans="2:13" x14ac:dyDescent="0.35">
      <c r="D65" s="3"/>
      <c r="E65" s="3"/>
      <c r="F65" s="3"/>
      <c r="G65" s="3"/>
      <c r="H65" s="3"/>
      <c r="I65" s="3"/>
      <c r="J65" s="3"/>
      <c r="K65" s="3"/>
      <c r="L65" s="3"/>
      <c r="M65" s="3"/>
    </row>
    <row r="66" spans="2:13" x14ac:dyDescent="0.35">
      <c r="D66" s="3"/>
      <c r="E66" s="3"/>
      <c r="F66" s="3"/>
      <c r="G66" s="3"/>
      <c r="H66" s="3"/>
      <c r="I66" s="3"/>
      <c r="J66" s="3"/>
      <c r="K66" s="3"/>
      <c r="L66" s="3"/>
      <c r="M66" s="3"/>
    </row>
    <row r="70" spans="2:13" x14ac:dyDescent="0.35">
      <c r="B70" s="16"/>
    </row>
    <row r="86" spans="2:2" x14ac:dyDescent="0.35">
      <c r="B86" t="s">
        <v>40</v>
      </c>
    </row>
    <row r="106" spans="2:9" x14ac:dyDescent="0.35">
      <c r="B106" t="s">
        <v>39</v>
      </c>
      <c r="E106" t="s">
        <v>42</v>
      </c>
      <c r="I106" t="s">
        <v>44</v>
      </c>
    </row>
  </sheetData>
  <mergeCells count="7">
    <mergeCell ref="D28:M30"/>
    <mergeCell ref="A1:M1"/>
    <mergeCell ref="A4:M4"/>
    <mergeCell ref="D6:I6"/>
    <mergeCell ref="G9:H9"/>
    <mergeCell ref="C7:E7"/>
    <mergeCell ref="C17:E1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sqref="A1:B2"/>
    </sheetView>
  </sheetViews>
  <sheetFormatPr baseColWidth="10" defaultRowHeight="14.5" x14ac:dyDescent="0.35"/>
  <sheetData>
    <row r="1" spans="1:2" x14ac:dyDescent="0.35">
      <c r="B1" t="s">
        <v>68</v>
      </c>
    </row>
    <row r="2" spans="1:2" x14ac:dyDescent="0.35">
      <c r="A2" t="s">
        <v>68</v>
      </c>
      <c r="B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sqref="A1:B2"/>
    </sheetView>
  </sheetViews>
  <sheetFormatPr baseColWidth="10" defaultRowHeight="14.5" x14ac:dyDescent="0.35"/>
  <sheetData>
    <row r="1" spans="1:2" x14ac:dyDescent="0.35">
      <c r="A1" s="48"/>
      <c r="B1" s="48" t="s">
        <v>68</v>
      </c>
    </row>
    <row r="2" spans="1:2" ht="15" thickBot="1" x14ac:dyDescent="0.4">
      <c r="A2" s="47" t="s">
        <v>68</v>
      </c>
      <c r="B2" s="47">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61"/>
  <sheetViews>
    <sheetView tabSelected="1" topLeftCell="B1" zoomScale="62" workbookViewId="0">
      <selection activeCell="S20" sqref="S20"/>
    </sheetView>
  </sheetViews>
  <sheetFormatPr baseColWidth="10" defaultRowHeight="14.5" x14ac:dyDescent="0.35"/>
  <cols>
    <col min="2" max="2" width="19.453125" customWidth="1"/>
    <col min="3" max="3" width="15.7265625" customWidth="1"/>
    <col min="4" max="4" width="17.36328125" customWidth="1"/>
    <col min="11" max="11" width="27.453125" customWidth="1"/>
    <col min="17" max="17" width="21.90625" customWidth="1"/>
  </cols>
  <sheetData>
    <row r="1" spans="2:18" x14ac:dyDescent="0.35">
      <c r="B1" s="27" t="s">
        <v>12</v>
      </c>
      <c r="C1" s="27"/>
      <c r="D1" s="27"/>
      <c r="E1" s="27"/>
      <c r="F1" s="27"/>
      <c r="G1" s="27"/>
      <c r="H1" s="27"/>
      <c r="I1" s="27"/>
      <c r="J1" s="27"/>
    </row>
    <row r="3" spans="2:18" x14ac:dyDescent="0.35">
      <c r="D3" s="24" t="s">
        <v>45</v>
      </c>
      <c r="E3" s="24"/>
      <c r="F3" s="24"/>
      <c r="G3" s="24"/>
      <c r="H3" s="24"/>
    </row>
    <row r="5" spans="2:18" x14ac:dyDescent="0.35">
      <c r="E5" s="26" t="s">
        <v>46</v>
      </c>
      <c r="F5" s="26"/>
      <c r="G5" s="26"/>
    </row>
    <row r="6" spans="2:18" x14ac:dyDescent="0.35">
      <c r="B6" s="31"/>
      <c r="C6" s="31"/>
      <c r="D6" s="31"/>
      <c r="E6" s="31"/>
      <c r="F6" s="31"/>
      <c r="G6" s="31"/>
      <c r="H6" s="31"/>
      <c r="I6" s="31"/>
      <c r="J6" s="31"/>
      <c r="K6" s="31"/>
      <c r="L6" s="31"/>
      <c r="M6" s="31"/>
      <c r="N6" s="31"/>
      <c r="O6" s="31"/>
      <c r="P6" s="31"/>
      <c r="Q6" s="31"/>
      <c r="R6" s="31"/>
    </row>
    <row r="7" spans="2:18" x14ac:dyDescent="0.35">
      <c r="B7" s="31" t="s">
        <v>4</v>
      </c>
      <c r="C7" s="31" t="s">
        <v>47</v>
      </c>
      <c r="D7" s="31" t="s">
        <v>48</v>
      </c>
      <c r="E7" s="31" t="s">
        <v>49</v>
      </c>
      <c r="F7" s="31" t="s">
        <v>50</v>
      </c>
      <c r="G7" s="31"/>
      <c r="H7" s="31"/>
      <c r="I7" s="31"/>
      <c r="J7" s="31"/>
      <c r="K7" s="31"/>
      <c r="L7" s="31"/>
      <c r="M7" s="31"/>
      <c r="N7" s="31"/>
      <c r="O7" s="31"/>
      <c r="P7" s="31"/>
      <c r="Q7" s="31"/>
      <c r="R7" s="31"/>
    </row>
    <row r="8" spans="2:18" x14ac:dyDescent="0.35">
      <c r="B8" s="31">
        <v>5.0999999999999996</v>
      </c>
      <c r="C8" s="32">
        <f>COUNTIF(donnees!$B$2:$B$151,B8)</f>
        <v>9</v>
      </c>
      <c r="D8" s="32">
        <f>C8</f>
        <v>9</v>
      </c>
      <c r="E8" s="33">
        <f>C8/$D$42*100</f>
        <v>6</v>
      </c>
      <c r="F8" s="33">
        <f>E8</f>
        <v>6</v>
      </c>
      <c r="G8" s="34"/>
      <c r="H8" s="31"/>
      <c r="I8" s="34"/>
      <c r="J8" s="34"/>
      <c r="K8" s="34"/>
      <c r="L8" s="34"/>
      <c r="M8" s="31"/>
      <c r="N8" s="31"/>
      <c r="O8" s="31"/>
      <c r="P8" s="31"/>
      <c r="Q8" s="31"/>
      <c r="R8" s="31"/>
    </row>
    <row r="9" spans="2:18" x14ac:dyDescent="0.35">
      <c r="B9" s="31">
        <v>4.9000000000000004</v>
      </c>
      <c r="C9" s="32">
        <f>COUNTIF(donnees!$B$2:$B$151,B9)</f>
        <v>6</v>
      </c>
      <c r="D9" s="32">
        <f>D8+C9</f>
        <v>15</v>
      </c>
      <c r="E9" s="33">
        <f>C9/$D$42*100</f>
        <v>4</v>
      </c>
      <c r="F9" s="33">
        <f>F8+E9</f>
        <v>10</v>
      </c>
      <c r="G9" s="31"/>
      <c r="H9" s="31"/>
      <c r="I9" s="31"/>
      <c r="J9" s="31"/>
      <c r="K9" s="31"/>
      <c r="L9" s="31"/>
      <c r="M9" s="31"/>
      <c r="N9" s="31"/>
      <c r="O9" s="31"/>
      <c r="P9" s="31"/>
      <c r="Q9" s="31"/>
      <c r="R9" s="31"/>
    </row>
    <row r="10" spans="2:18" x14ac:dyDescent="0.35">
      <c r="B10" s="31">
        <v>4.7</v>
      </c>
      <c r="C10" s="32">
        <f>COUNTIF(donnees!$B$2:$B$151,B10)</f>
        <v>2</v>
      </c>
      <c r="D10" s="31">
        <f t="shared" ref="D10:D42" si="0">D9+C10</f>
        <v>17</v>
      </c>
      <c r="E10" s="33">
        <f>C10/$D$42*100</f>
        <v>1.3333333333333335</v>
      </c>
      <c r="F10" s="33">
        <f t="shared" ref="F10:F42" si="1">F9+E10</f>
        <v>11.333333333333334</v>
      </c>
      <c r="G10" s="31"/>
      <c r="H10" s="31"/>
      <c r="I10" s="31"/>
      <c r="J10" s="31"/>
      <c r="K10" s="31"/>
      <c r="L10" s="31"/>
      <c r="M10" s="31"/>
      <c r="N10" s="31"/>
      <c r="O10" s="31"/>
      <c r="P10" s="31"/>
      <c r="Q10" s="31"/>
      <c r="R10" s="31"/>
    </row>
    <row r="11" spans="2:18" x14ac:dyDescent="0.35">
      <c r="B11" s="31">
        <v>4.5999999999999996</v>
      </c>
      <c r="C11" s="32">
        <f>COUNTIF(donnees!$B$2:$B$151,B11)</f>
        <v>4</v>
      </c>
      <c r="D11" s="31">
        <f t="shared" si="0"/>
        <v>21</v>
      </c>
      <c r="E11" s="33">
        <f>C11/$D$42*100</f>
        <v>2.666666666666667</v>
      </c>
      <c r="F11" s="33">
        <f t="shared" si="1"/>
        <v>14</v>
      </c>
      <c r="G11" s="31"/>
      <c r="H11" s="31"/>
      <c r="I11" s="31"/>
      <c r="J11" s="31"/>
      <c r="K11" s="31"/>
      <c r="L11" s="31"/>
      <c r="M11" s="31"/>
      <c r="N11" s="31"/>
      <c r="O11" s="31"/>
      <c r="P11" s="31"/>
      <c r="Q11" s="31"/>
      <c r="R11" s="31"/>
    </row>
    <row r="12" spans="2:18" x14ac:dyDescent="0.35">
      <c r="B12" s="31">
        <v>5</v>
      </c>
      <c r="C12" s="32">
        <f>COUNTIF(donnees!$B$2:$B$151,B12)</f>
        <v>10</v>
      </c>
      <c r="D12" s="31">
        <f t="shared" si="0"/>
        <v>31</v>
      </c>
      <c r="E12" s="33">
        <f>C12/$D$42*100</f>
        <v>6.666666666666667</v>
      </c>
      <c r="F12" s="33">
        <f t="shared" si="1"/>
        <v>20.666666666666668</v>
      </c>
      <c r="G12" s="31"/>
      <c r="H12" s="31"/>
      <c r="I12" s="31"/>
      <c r="J12" s="31"/>
      <c r="K12" s="31"/>
      <c r="L12" s="31"/>
      <c r="M12" s="31"/>
      <c r="N12" s="31"/>
      <c r="O12" s="31"/>
      <c r="P12" s="31"/>
      <c r="Q12" s="31"/>
      <c r="R12" s="31"/>
    </row>
    <row r="13" spans="2:18" x14ac:dyDescent="0.35">
      <c r="B13" s="31">
        <v>5.4</v>
      </c>
      <c r="C13" s="32">
        <f>COUNTIF(donnees!$B$2:$B$151,B13)</f>
        <v>6</v>
      </c>
      <c r="D13" s="31">
        <f t="shared" si="0"/>
        <v>37</v>
      </c>
      <c r="E13" s="33">
        <f>C13/$D$42*100</f>
        <v>4</v>
      </c>
      <c r="F13" s="33">
        <f t="shared" si="1"/>
        <v>24.666666666666668</v>
      </c>
      <c r="G13" s="31"/>
      <c r="H13" s="31"/>
      <c r="I13" s="31"/>
      <c r="J13" s="31"/>
      <c r="K13" s="31"/>
      <c r="L13" s="31"/>
      <c r="M13" s="31"/>
      <c r="N13" s="31"/>
      <c r="O13" s="31"/>
      <c r="P13" s="31"/>
      <c r="Q13" s="31"/>
      <c r="R13" s="31"/>
    </row>
    <row r="14" spans="2:18" x14ac:dyDescent="0.35">
      <c r="B14" s="31">
        <v>4.4000000000000004</v>
      </c>
      <c r="C14" s="32">
        <f>COUNTIF(donnees!$B$2:$B$151,B14)</f>
        <v>3</v>
      </c>
      <c r="D14" s="31">
        <f t="shared" si="0"/>
        <v>40</v>
      </c>
      <c r="E14" s="33">
        <f>C14/$D$42*100</f>
        <v>2</v>
      </c>
      <c r="F14" s="33">
        <f t="shared" si="1"/>
        <v>26.666666666666668</v>
      </c>
      <c r="G14" s="31"/>
      <c r="H14" s="31"/>
      <c r="I14" s="31"/>
      <c r="J14" s="31"/>
      <c r="K14" s="31"/>
      <c r="L14" s="31"/>
      <c r="M14" s="31"/>
      <c r="N14" s="31"/>
      <c r="O14" s="31"/>
      <c r="P14" s="31"/>
      <c r="Q14" s="31"/>
      <c r="R14" s="31"/>
    </row>
    <row r="15" spans="2:18" x14ac:dyDescent="0.35">
      <c r="B15" s="31">
        <v>4.8</v>
      </c>
      <c r="C15" s="32">
        <f>COUNTIF(donnees!$B$2:$B$151,B15)</f>
        <v>5</v>
      </c>
      <c r="D15" s="31">
        <f t="shared" si="0"/>
        <v>45</v>
      </c>
      <c r="E15" s="33">
        <f>C15/$D$42*100</f>
        <v>3.3333333333333335</v>
      </c>
      <c r="F15" s="33">
        <f t="shared" si="1"/>
        <v>30</v>
      </c>
      <c r="G15" s="31"/>
      <c r="H15" s="31"/>
      <c r="I15" s="31"/>
      <c r="J15" s="31"/>
      <c r="K15" s="31"/>
      <c r="L15" s="31"/>
      <c r="M15" s="31"/>
      <c r="N15" s="31"/>
      <c r="O15" s="31"/>
      <c r="P15" s="31"/>
      <c r="Q15" s="31"/>
      <c r="R15" s="31"/>
    </row>
    <row r="16" spans="2:18" x14ac:dyDescent="0.35">
      <c r="B16" s="31">
        <v>4.3</v>
      </c>
      <c r="C16" s="32">
        <f>COUNTIF(donnees!$B$2:$B$151,B16)</f>
        <v>1</v>
      </c>
      <c r="D16" s="31">
        <f t="shared" si="0"/>
        <v>46</v>
      </c>
      <c r="E16" s="33">
        <f>C16/$D$42*100</f>
        <v>0.66666666666666674</v>
      </c>
      <c r="F16" s="33">
        <f t="shared" si="1"/>
        <v>30.666666666666668</v>
      </c>
      <c r="G16" s="31"/>
      <c r="H16" s="31"/>
      <c r="I16" s="31"/>
      <c r="J16" s="31"/>
      <c r="K16" s="31"/>
      <c r="L16" s="31"/>
      <c r="M16" s="31"/>
      <c r="N16" s="31"/>
      <c r="O16" s="31"/>
      <c r="P16" s="31"/>
      <c r="Q16" s="31"/>
      <c r="R16" s="31"/>
    </row>
    <row r="17" spans="2:18" x14ac:dyDescent="0.35">
      <c r="B17" s="31">
        <v>5.8</v>
      </c>
      <c r="C17" s="32">
        <f>COUNTIF(donnees!$B$2:$B$151,B17)</f>
        <v>7</v>
      </c>
      <c r="D17" s="31">
        <f t="shared" si="0"/>
        <v>53</v>
      </c>
      <c r="E17" s="33">
        <f>C17/$D$42*100</f>
        <v>4.666666666666667</v>
      </c>
      <c r="F17" s="33">
        <f t="shared" si="1"/>
        <v>35.333333333333336</v>
      </c>
      <c r="G17" s="31"/>
      <c r="H17" s="31"/>
      <c r="I17" s="31"/>
      <c r="J17" s="31"/>
      <c r="K17" s="31"/>
      <c r="L17" s="31"/>
      <c r="M17" s="31"/>
      <c r="N17" s="31"/>
      <c r="O17" s="31"/>
      <c r="P17" s="31"/>
      <c r="Q17" s="31"/>
      <c r="R17" s="31"/>
    </row>
    <row r="18" spans="2:18" x14ac:dyDescent="0.35">
      <c r="B18" s="31">
        <v>5.7</v>
      </c>
      <c r="C18" s="32">
        <f>COUNTIF(donnees!$B$2:$B$151,B18)</f>
        <v>8</v>
      </c>
      <c r="D18" s="31">
        <f t="shared" si="0"/>
        <v>61</v>
      </c>
      <c r="E18" s="33">
        <f>C18/$D$42*100</f>
        <v>5.3333333333333339</v>
      </c>
      <c r="F18" s="33">
        <f t="shared" si="1"/>
        <v>40.666666666666671</v>
      </c>
      <c r="G18" s="31"/>
      <c r="H18" s="31"/>
      <c r="I18" s="31"/>
      <c r="J18" s="31"/>
      <c r="K18" s="31"/>
      <c r="L18" s="31"/>
      <c r="M18" s="31"/>
      <c r="N18" s="31"/>
      <c r="O18" s="31"/>
      <c r="P18" s="31"/>
      <c r="Q18" s="31"/>
      <c r="R18" s="31"/>
    </row>
    <row r="19" spans="2:18" x14ac:dyDescent="0.35">
      <c r="B19" s="31">
        <v>5.2</v>
      </c>
      <c r="C19" s="32">
        <f>COUNTIF(donnees!$B$2:$B$151,B19)</f>
        <v>4</v>
      </c>
      <c r="D19" s="31">
        <f t="shared" si="0"/>
        <v>65</v>
      </c>
      <c r="E19" s="33">
        <f>C19/$D$42*100</f>
        <v>2.666666666666667</v>
      </c>
      <c r="F19" s="33">
        <f t="shared" si="1"/>
        <v>43.333333333333336</v>
      </c>
      <c r="G19" s="31"/>
      <c r="H19" s="31"/>
      <c r="I19" s="31"/>
      <c r="J19" s="31"/>
      <c r="K19" s="31"/>
      <c r="L19" s="31"/>
      <c r="M19" s="31"/>
      <c r="N19" s="31"/>
      <c r="O19" s="31"/>
      <c r="P19" s="31"/>
      <c r="Q19" s="31"/>
      <c r="R19" s="31"/>
    </row>
    <row r="20" spans="2:18" x14ac:dyDescent="0.35">
      <c r="B20" s="31">
        <v>5.5</v>
      </c>
      <c r="C20" s="32">
        <f>COUNTIF(donnees!$B$2:$B$151,B20)</f>
        <v>7</v>
      </c>
      <c r="D20" s="31">
        <f t="shared" si="0"/>
        <v>72</v>
      </c>
      <c r="E20" s="33">
        <f>C20/$D$42*100</f>
        <v>4.666666666666667</v>
      </c>
      <c r="F20" s="33">
        <f t="shared" si="1"/>
        <v>48</v>
      </c>
      <c r="G20" s="31"/>
      <c r="H20" s="31"/>
      <c r="I20" s="31"/>
      <c r="J20" s="31"/>
      <c r="K20" s="31"/>
      <c r="L20" s="31"/>
      <c r="M20" s="31"/>
      <c r="N20" s="31"/>
      <c r="O20" s="31"/>
      <c r="P20" s="31"/>
      <c r="Q20" s="31"/>
      <c r="R20" s="31"/>
    </row>
    <row r="21" spans="2:18" x14ac:dyDescent="0.35">
      <c r="B21" s="31">
        <v>4.5</v>
      </c>
      <c r="C21" s="32">
        <f>COUNTIF(donnees!$B$2:$B$151,B21)</f>
        <v>1</v>
      </c>
      <c r="D21" s="31">
        <f t="shared" si="0"/>
        <v>73</v>
      </c>
      <c r="E21" s="33">
        <f>C21/$D$42*100</f>
        <v>0.66666666666666674</v>
      </c>
      <c r="F21" s="33">
        <f t="shared" si="1"/>
        <v>48.666666666666664</v>
      </c>
      <c r="G21" s="31"/>
      <c r="H21" s="31"/>
      <c r="I21" s="31"/>
      <c r="J21" s="31"/>
      <c r="K21" s="31"/>
      <c r="L21" s="31"/>
      <c r="M21" s="31"/>
      <c r="N21" s="31"/>
      <c r="O21" s="31"/>
      <c r="P21" s="31"/>
      <c r="Q21" s="31"/>
      <c r="R21" s="31"/>
    </row>
    <row r="22" spans="2:18" x14ac:dyDescent="0.35">
      <c r="B22" s="31">
        <v>5.3</v>
      </c>
      <c r="C22" s="32">
        <f>COUNTIF(donnees!$B$2:$B$151,B22)</f>
        <v>1</v>
      </c>
      <c r="D22" s="31">
        <f t="shared" si="0"/>
        <v>74</v>
      </c>
      <c r="E22" s="33">
        <f>C22/$D$42*100</f>
        <v>0.66666666666666674</v>
      </c>
      <c r="F22" s="33">
        <f t="shared" si="1"/>
        <v>49.333333333333329</v>
      </c>
      <c r="G22" s="31"/>
      <c r="H22" s="31"/>
      <c r="I22" s="31"/>
      <c r="J22" s="31"/>
      <c r="K22" s="31"/>
      <c r="L22" s="31"/>
      <c r="M22" s="31"/>
      <c r="N22" s="31"/>
      <c r="O22" s="31"/>
      <c r="P22" s="31"/>
      <c r="Q22" s="31"/>
      <c r="R22" s="31"/>
    </row>
    <row r="23" spans="2:18" x14ac:dyDescent="0.35">
      <c r="B23" s="31">
        <v>7</v>
      </c>
      <c r="C23" s="32">
        <f>COUNTIF(donnees!$B$2:$B$151,B23)</f>
        <v>1</v>
      </c>
      <c r="D23" s="31">
        <f t="shared" si="0"/>
        <v>75</v>
      </c>
      <c r="E23" s="33">
        <f>C23/$D$42*100</f>
        <v>0.66666666666666674</v>
      </c>
      <c r="F23" s="33">
        <f t="shared" si="1"/>
        <v>49.999999999999993</v>
      </c>
      <c r="G23" s="31"/>
      <c r="H23" s="31"/>
      <c r="I23" s="31"/>
      <c r="J23" s="31"/>
      <c r="K23" s="31"/>
      <c r="L23" s="31"/>
      <c r="M23" s="31"/>
      <c r="N23" s="31"/>
      <c r="O23" s="31"/>
      <c r="P23" s="31"/>
      <c r="Q23" s="31"/>
      <c r="R23" s="31"/>
    </row>
    <row r="24" spans="2:18" x14ac:dyDescent="0.35">
      <c r="B24" s="31">
        <v>6.4</v>
      </c>
      <c r="C24" s="32">
        <f>COUNTIF(donnees!$B$2:$B$151,B24)</f>
        <v>7</v>
      </c>
      <c r="D24" s="31">
        <f t="shared" si="0"/>
        <v>82</v>
      </c>
      <c r="E24" s="33">
        <f>C24/$D$42*100</f>
        <v>4.666666666666667</v>
      </c>
      <c r="F24" s="33">
        <f t="shared" si="1"/>
        <v>54.666666666666657</v>
      </c>
      <c r="G24" s="31"/>
      <c r="H24" s="31"/>
      <c r="I24" s="31"/>
      <c r="J24" s="31"/>
      <c r="K24" s="31"/>
      <c r="L24" s="31"/>
      <c r="M24" s="31"/>
      <c r="N24" s="31"/>
      <c r="O24" s="31"/>
      <c r="P24" s="31"/>
      <c r="Q24" s="31"/>
      <c r="R24" s="31"/>
    </row>
    <row r="25" spans="2:18" x14ac:dyDescent="0.35">
      <c r="B25" s="31">
        <v>6.9</v>
      </c>
      <c r="C25" s="32">
        <f>COUNTIF(donnees!$B$2:$B$151,B25)</f>
        <v>4</v>
      </c>
      <c r="D25" s="31">
        <f t="shared" si="0"/>
        <v>86</v>
      </c>
      <c r="E25" s="33">
        <f>C25/$D$42*100</f>
        <v>2.666666666666667</v>
      </c>
      <c r="F25" s="33">
        <f t="shared" si="1"/>
        <v>57.333333333333321</v>
      </c>
      <c r="G25" s="31"/>
      <c r="H25" s="31"/>
      <c r="I25" s="31"/>
      <c r="J25" s="31"/>
      <c r="K25" s="31"/>
      <c r="L25" s="31"/>
      <c r="M25" s="31"/>
      <c r="N25" s="31"/>
      <c r="O25" s="31"/>
      <c r="P25" s="31"/>
      <c r="Q25" s="31"/>
      <c r="R25" s="31"/>
    </row>
    <row r="26" spans="2:18" x14ac:dyDescent="0.35">
      <c r="B26" s="31">
        <v>6.5</v>
      </c>
      <c r="C26" s="32">
        <f>COUNTIF(donnees!$B$2:$B$151,B26)</f>
        <v>5</v>
      </c>
      <c r="D26" s="31">
        <f t="shared" si="0"/>
        <v>91</v>
      </c>
      <c r="E26" s="33">
        <f>C26/$D$42*100</f>
        <v>3.3333333333333335</v>
      </c>
      <c r="F26" s="33">
        <f t="shared" si="1"/>
        <v>60.666666666666657</v>
      </c>
      <c r="G26" s="34"/>
      <c r="H26" s="31"/>
      <c r="I26" s="31"/>
      <c r="J26" s="31"/>
      <c r="K26" s="31"/>
      <c r="L26" s="31"/>
      <c r="M26" s="31"/>
      <c r="N26" s="31"/>
      <c r="O26" s="31"/>
      <c r="P26" s="31"/>
      <c r="Q26" s="31"/>
      <c r="R26" s="31"/>
    </row>
    <row r="27" spans="2:18" x14ac:dyDescent="0.35">
      <c r="B27" s="31">
        <v>6.3</v>
      </c>
      <c r="C27" s="32">
        <f>COUNTIF(donnees!$B$2:$B$151,B27)</f>
        <v>9</v>
      </c>
      <c r="D27" s="31">
        <f t="shared" si="0"/>
        <v>100</v>
      </c>
      <c r="E27" s="33">
        <f>C27/$D$42*100</f>
        <v>6</v>
      </c>
      <c r="F27" s="33">
        <f t="shared" si="1"/>
        <v>66.666666666666657</v>
      </c>
      <c r="G27" s="31"/>
      <c r="H27" s="31"/>
      <c r="I27" s="31"/>
      <c r="J27" s="31"/>
      <c r="K27" s="31"/>
      <c r="L27" s="31"/>
      <c r="M27" s="31"/>
      <c r="N27" s="31"/>
      <c r="O27" s="31"/>
      <c r="P27" s="31"/>
      <c r="Q27" s="31"/>
      <c r="R27" s="31"/>
    </row>
    <row r="28" spans="2:18" x14ac:dyDescent="0.35">
      <c r="B28" s="31">
        <v>6.6</v>
      </c>
      <c r="C28" s="32">
        <f>COUNTIF(donnees!$B$2:$B$151,B28)</f>
        <v>2</v>
      </c>
      <c r="D28" s="31">
        <f t="shared" si="0"/>
        <v>102</v>
      </c>
      <c r="E28" s="33">
        <f>C28/$D$42*100</f>
        <v>1.3333333333333335</v>
      </c>
      <c r="F28" s="33">
        <f t="shared" si="1"/>
        <v>67.999999999999986</v>
      </c>
      <c r="G28" s="31"/>
      <c r="H28" s="31"/>
      <c r="I28" s="31"/>
      <c r="J28" s="31"/>
      <c r="K28" s="31"/>
      <c r="L28" s="31"/>
      <c r="M28" s="31"/>
      <c r="N28" s="31"/>
      <c r="O28" s="31"/>
      <c r="P28" s="31"/>
      <c r="Q28" s="31"/>
      <c r="R28" s="31"/>
    </row>
    <row r="29" spans="2:18" x14ac:dyDescent="0.35">
      <c r="B29" s="31">
        <v>5.9</v>
      </c>
      <c r="C29" s="32">
        <f>COUNTIF(donnees!$B$2:$B$151,B29)</f>
        <v>3</v>
      </c>
      <c r="D29" s="31">
        <f t="shared" si="0"/>
        <v>105</v>
      </c>
      <c r="E29" s="33">
        <f>C29/$D$42*100</f>
        <v>2</v>
      </c>
      <c r="F29" s="33">
        <f t="shared" si="1"/>
        <v>69.999999999999986</v>
      </c>
      <c r="G29" s="31"/>
      <c r="H29" s="31"/>
      <c r="I29" s="31"/>
      <c r="J29" s="31"/>
      <c r="K29" s="31"/>
      <c r="L29" s="31"/>
      <c r="M29" s="31"/>
      <c r="N29" s="31"/>
      <c r="O29" s="31"/>
      <c r="P29" s="31"/>
      <c r="Q29" s="31"/>
      <c r="R29" s="31"/>
    </row>
    <row r="30" spans="2:18" x14ac:dyDescent="0.35">
      <c r="B30" s="31">
        <v>6</v>
      </c>
      <c r="C30" s="32">
        <f>COUNTIF(donnees!$B$2:$B$151,B30)</f>
        <v>6</v>
      </c>
      <c r="D30" s="31">
        <f t="shared" si="0"/>
        <v>111</v>
      </c>
      <c r="E30" s="33">
        <f>C30/$D$42*100</f>
        <v>4</v>
      </c>
      <c r="F30" s="33">
        <f t="shared" si="1"/>
        <v>73.999999999999986</v>
      </c>
      <c r="G30" s="31"/>
      <c r="H30" s="31"/>
      <c r="I30" s="31"/>
      <c r="J30" s="31"/>
      <c r="K30" s="31"/>
      <c r="L30" s="31"/>
      <c r="M30" s="31"/>
      <c r="N30" s="31"/>
      <c r="O30" s="31"/>
      <c r="P30" s="31"/>
      <c r="Q30" s="31"/>
      <c r="R30" s="31"/>
    </row>
    <row r="31" spans="2:18" x14ac:dyDescent="0.35">
      <c r="B31" s="31">
        <v>6.1</v>
      </c>
      <c r="C31" s="32">
        <f>COUNTIF(donnees!$B$2:$B$151,B31)</f>
        <v>6</v>
      </c>
      <c r="D31" s="31">
        <f t="shared" si="0"/>
        <v>117</v>
      </c>
      <c r="E31" s="33">
        <f>C31/$D$42*100</f>
        <v>4</v>
      </c>
      <c r="F31" s="33">
        <f t="shared" si="1"/>
        <v>77.999999999999986</v>
      </c>
      <c r="G31" s="31"/>
      <c r="H31" s="31"/>
      <c r="I31" s="31"/>
      <c r="J31" s="31"/>
      <c r="K31" s="31"/>
      <c r="L31" s="31"/>
      <c r="M31" s="31"/>
      <c r="N31" s="31"/>
      <c r="O31" s="31"/>
      <c r="P31" s="31"/>
      <c r="Q31" s="31"/>
      <c r="R31" s="31"/>
    </row>
    <row r="32" spans="2:18" x14ac:dyDescent="0.35">
      <c r="B32" s="31">
        <v>5.6</v>
      </c>
      <c r="C32" s="32">
        <f>COUNTIF(donnees!$B$2:$B$151,B32)</f>
        <v>6</v>
      </c>
      <c r="D32" s="31">
        <f t="shared" si="0"/>
        <v>123</v>
      </c>
      <c r="E32" s="33">
        <f>C32/$D$42*100</f>
        <v>4</v>
      </c>
      <c r="F32" s="33">
        <f t="shared" si="1"/>
        <v>81.999999999999986</v>
      </c>
      <c r="G32" s="31"/>
      <c r="H32" s="31"/>
      <c r="I32" s="31"/>
      <c r="J32" s="31"/>
      <c r="K32" s="31"/>
      <c r="L32" s="31"/>
      <c r="M32" s="31"/>
      <c r="N32" s="31"/>
      <c r="O32" s="31"/>
      <c r="P32" s="31"/>
      <c r="Q32" s="31"/>
      <c r="R32" s="31"/>
    </row>
    <row r="33" spans="2:18" x14ac:dyDescent="0.35">
      <c r="B33" s="31">
        <v>6.7</v>
      </c>
      <c r="C33" s="32">
        <f>COUNTIF(donnees!$B$2:$B$151,B33)</f>
        <v>8</v>
      </c>
      <c r="D33" s="31">
        <f t="shared" si="0"/>
        <v>131</v>
      </c>
      <c r="E33" s="33">
        <f>C33/$D$42*100</f>
        <v>5.3333333333333339</v>
      </c>
      <c r="F33" s="33">
        <f t="shared" si="1"/>
        <v>87.333333333333314</v>
      </c>
      <c r="G33" s="31"/>
      <c r="H33" s="31"/>
      <c r="I33" s="35"/>
      <c r="J33" s="31"/>
      <c r="K33" s="31"/>
      <c r="L33" s="31"/>
      <c r="M33" s="31"/>
      <c r="N33" s="31"/>
      <c r="O33" s="31"/>
      <c r="P33" s="31"/>
      <c r="Q33" s="31"/>
      <c r="R33" s="31"/>
    </row>
    <row r="34" spans="2:18" x14ac:dyDescent="0.35">
      <c r="B34" s="31">
        <v>6.2</v>
      </c>
      <c r="C34" s="32">
        <f>COUNTIF(donnees!$B$2:$B$151,B34)</f>
        <v>4</v>
      </c>
      <c r="D34" s="31">
        <f t="shared" si="0"/>
        <v>135</v>
      </c>
      <c r="E34" s="33">
        <f>C34/$D$42*100</f>
        <v>2.666666666666667</v>
      </c>
      <c r="F34" s="33">
        <f t="shared" si="1"/>
        <v>89.999999999999986</v>
      </c>
      <c r="G34" s="31"/>
      <c r="H34" s="31"/>
      <c r="I34" s="31"/>
      <c r="J34" s="31"/>
      <c r="K34" s="31"/>
      <c r="L34" s="31"/>
      <c r="M34" s="31"/>
      <c r="N34" s="31"/>
      <c r="O34" s="31"/>
      <c r="P34" s="31"/>
      <c r="Q34" s="31"/>
      <c r="R34" s="31"/>
    </row>
    <row r="35" spans="2:18" x14ac:dyDescent="0.35">
      <c r="B35" s="31">
        <v>6.8</v>
      </c>
      <c r="C35" s="32">
        <f>COUNTIF(donnees!$B$2:$B$151,B35)</f>
        <v>3</v>
      </c>
      <c r="D35" s="31">
        <f t="shared" si="0"/>
        <v>138</v>
      </c>
      <c r="E35" s="33">
        <f>C35/$D$42*100</f>
        <v>2</v>
      </c>
      <c r="F35" s="33">
        <f t="shared" si="1"/>
        <v>91.999999999999986</v>
      </c>
      <c r="G35" s="31"/>
      <c r="H35" s="31"/>
      <c r="I35" s="31"/>
      <c r="J35" s="31"/>
      <c r="K35" s="31"/>
      <c r="L35" s="31"/>
      <c r="M35" s="31"/>
      <c r="N35" s="31"/>
      <c r="O35" s="31"/>
      <c r="P35" s="31"/>
      <c r="Q35" s="31"/>
      <c r="R35" s="31"/>
    </row>
    <row r="36" spans="2:18" x14ac:dyDescent="0.35">
      <c r="B36" s="31">
        <v>7.1</v>
      </c>
      <c r="C36" s="32">
        <f>COUNTIF(donnees!$B$2:$B$151,B36)</f>
        <v>1</v>
      </c>
      <c r="D36" s="31">
        <f t="shared" si="0"/>
        <v>139</v>
      </c>
      <c r="E36" s="33">
        <f>C36/$D$42*100</f>
        <v>0.66666666666666674</v>
      </c>
      <c r="F36" s="33">
        <f t="shared" si="1"/>
        <v>92.666666666666657</v>
      </c>
      <c r="G36" s="31"/>
      <c r="H36" s="31"/>
      <c r="I36" s="31"/>
      <c r="J36" s="31"/>
      <c r="K36" s="31"/>
      <c r="L36" s="31"/>
      <c r="M36" s="31"/>
      <c r="N36" s="31"/>
      <c r="O36" s="31"/>
      <c r="P36" s="31"/>
      <c r="Q36" s="31"/>
      <c r="R36" s="31"/>
    </row>
    <row r="37" spans="2:18" x14ac:dyDescent="0.35">
      <c r="B37" s="31">
        <v>7.6</v>
      </c>
      <c r="C37" s="32">
        <f>COUNTIF(donnees!$B$2:$B$151,B37)</f>
        <v>1</v>
      </c>
      <c r="D37" s="31">
        <f t="shared" si="0"/>
        <v>140</v>
      </c>
      <c r="E37" s="33">
        <f>C37/$D$42*100</f>
        <v>0.66666666666666674</v>
      </c>
      <c r="F37" s="33">
        <f t="shared" si="1"/>
        <v>93.333333333333329</v>
      </c>
      <c r="G37" s="31"/>
      <c r="H37" s="31"/>
      <c r="I37" s="31"/>
      <c r="J37" s="31"/>
      <c r="K37" s="31"/>
      <c r="L37" s="31"/>
      <c r="M37" s="31"/>
      <c r="N37" s="31"/>
      <c r="O37" s="31"/>
      <c r="P37" s="31"/>
      <c r="Q37" s="31"/>
      <c r="R37" s="31"/>
    </row>
    <row r="38" spans="2:18" x14ac:dyDescent="0.35">
      <c r="B38" s="31">
        <v>7.3</v>
      </c>
      <c r="C38" s="32">
        <f>COUNTIF(donnees!$B$2:$B$151,B38)</f>
        <v>1</v>
      </c>
      <c r="D38" s="31">
        <f t="shared" si="0"/>
        <v>141</v>
      </c>
      <c r="E38" s="33">
        <f>C38/$D$42*100</f>
        <v>0.66666666666666674</v>
      </c>
      <c r="F38" s="33">
        <f t="shared" si="1"/>
        <v>94</v>
      </c>
      <c r="G38" s="31"/>
      <c r="H38" s="31"/>
      <c r="I38" s="31"/>
      <c r="J38" s="31"/>
      <c r="K38" s="31"/>
      <c r="L38" s="31"/>
      <c r="M38" s="31"/>
      <c r="N38" s="31"/>
      <c r="O38" s="31"/>
      <c r="P38" s="31"/>
      <c r="Q38" s="31"/>
      <c r="R38" s="31"/>
    </row>
    <row r="39" spans="2:18" x14ac:dyDescent="0.35">
      <c r="B39" s="31">
        <v>7.2</v>
      </c>
      <c r="C39" s="32">
        <f>COUNTIF(donnees!$B$2:$B$151,B39)</f>
        <v>3</v>
      </c>
      <c r="D39" s="31">
        <f t="shared" si="0"/>
        <v>144</v>
      </c>
      <c r="E39" s="33">
        <f>C39/$D$42*100</f>
        <v>2</v>
      </c>
      <c r="F39" s="33">
        <f t="shared" si="1"/>
        <v>96</v>
      </c>
      <c r="G39" s="31"/>
      <c r="H39" s="31"/>
      <c r="I39" s="31"/>
      <c r="J39" s="31"/>
      <c r="K39" s="31"/>
      <c r="L39" s="31"/>
      <c r="M39" s="31"/>
      <c r="N39" s="31"/>
      <c r="O39" s="31"/>
      <c r="P39" s="31"/>
      <c r="Q39" s="31"/>
      <c r="R39" s="31"/>
    </row>
    <row r="40" spans="2:18" x14ac:dyDescent="0.35">
      <c r="B40" s="31">
        <v>7.7</v>
      </c>
      <c r="C40" s="32">
        <f>COUNTIF(donnees!$B$2:$B$151,B40)</f>
        <v>4</v>
      </c>
      <c r="D40" s="31">
        <f t="shared" si="0"/>
        <v>148</v>
      </c>
      <c r="E40" s="33">
        <f>C40/$D$42*100</f>
        <v>2.666666666666667</v>
      </c>
      <c r="F40" s="33">
        <f t="shared" si="1"/>
        <v>98.666666666666671</v>
      </c>
      <c r="G40" s="31"/>
      <c r="H40" s="31"/>
      <c r="I40" s="31"/>
      <c r="J40" s="31"/>
      <c r="K40" s="31"/>
      <c r="L40" s="31"/>
      <c r="M40" s="31"/>
      <c r="N40" s="31"/>
      <c r="O40" s="31"/>
      <c r="P40" s="31"/>
      <c r="Q40" s="31"/>
      <c r="R40" s="31"/>
    </row>
    <row r="41" spans="2:18" x14ac:dyDescent="0.35">
      <c r="B41" s="31">
        <v>7.4</v>
      </c>
      <c r="C41" s="32">
        <f>COUNTIF(donnees!$B$2:$B$151,B41)</f>
        <v>1</v>
      </c>
      <c r="D41" s="31">
        <f t="shared" si="0"/>
        <v>149</v>
      </c>
      <c r="E41" s="33">
        <f>C41/$D$42*100</f>
        <v>0.66666666666666674</v>
      </c>
      <c r="F41" s="33">
        <f t="shared" si="1"/>
        <v>99.333333333333343</v>
      </c>
      <c r="G41" s="31"/>
      <c r="H41" s="31"/>
      <c r="I41" s="31"/>
      <c r="J41" s="31"/>
      <c r="K41" s="31"/>
      <c r="L41" s="31"/>
      <c r="M41" s="31"/>
      <c r="N41" s="31"/>
      <c r="O41" s="31"/>
      <c r="P41" s="31"/>
      <c r="Q41" s="31"/>
      <c r="R41" s="31"/>
    </row>
    <row r="42" spans="2:18" x14ac:dyDescent="0.35">
      <c r="B42" s="31">
        <v>7.9</v>
      </c>
      <c r="C42" s="32">
        <f>COUNTIF(donnees!$B$2:$B$151,B42)</f>
        <v>1</v>
      </c>
      <c r="D42" s="31">
        <f t="shared" si="0"/>
        <v>150</v>
      </c>
      <c r="E42" s="33">
        <f>C42/$D$42*100</f>
        <v>0.66666666666666674</v>
      </c>
      <c r="F42" s="33">
        <f t="shared" si="1"/>
        <v>100.00000000000001</v>
      </c>
    </row>
    <row r="43" spans="2:18" x14ac:dyDescent="0.35">
      <c r="B43" s="31"/>
      <c r="C43" s="32">
        <f>SUM(C8:C42)</f>
        <v>150</v>
      </c>
      <c r="D43" s="31"/>
      <c r="E43" s="33">
        <f>SUM(E8:E42)</f>
        <v>100.00000000000001</v>
      </c>
      <c r="F43" s="31"/>
    </row>
    <row r="44" spans="2:18" x14ac:dyDescent="0.35">
      <c r="N44">
        <f>MEDIAN(B8:B42)</f>
        <v>6</v>
      </c>
    </row>
    <row r="46" spans="2:18" x14ac:dyDescent="0.35">
      <c r="D46" s="28" t="s">
        <v>52</v>
      </c>
      <c r="E46" s="28"/>
      <c r="F46" s="28"/>
      <c r="G46" s="28"/>
      <c r="H46" s="28"/>
    </row>
    <row r="49" spans="2:6" x14ac:dyDescent="0.35">
      <c r="B49" t="s">
        <v>5</v>
      </c>
      <c r="C49" t="s">
        <v>47</v>
      </c>
      <c r="D49" t="s">
        <v>48</v>
      </c>
      <c r="E49" t="s">
        <v>49</v>
      </c>
      <c r="F49" t="s">
        <v>50</v>
      </c>
    </row>
    <row r="50" spans="2:6" x14ac:dyDescent="0.35">
      <c r="B50">
        <v>3.5</v>
      </c>
      <c r="C50">
        <f>COUNTIF(donnees!$C$2:$C$151,B50)</f>
        <v>6</v>
      </c>
      <c r="D50" s="30">
        <f>C50</f>
        <v>6</v>
      </c>
      <c r="E50" s="29">
        <f>C50/$D$72*100</f>
        <v>4</v>
      </c>
      <c r="F50" s="29">
        <f>E50</f>
        <v>4</v>
      </c>
    </row>
    <row r="51" spans="2:6" x14ac:dyDescent="0.35">
      <c r="B51">
        <v>3</v>
      </c>
      <c r="C51">
        <f>COUNTIF(donnees!$C$2:$C$151,B51)</f>
        <v>26</v>
      </c>
      <c r="D51" s="30">
        <f>D50+C51</f>
        <v>32</v>
      </c>
      <c r="E51" s="29">
        <f t="shared" ref="E51:E72" si="2">C51/$D$72*100</f>
        <v>17.333333333333336</v>
      </c>
      <c r="F51" s="29">
        <f>F50+E51</f>
        <v>21.333333333333336</v>
      </c>
    </row>
    <row r="52" spans="2:6" x14ac:dyDescent="0.35">
      <c r="B52">
        <v>3.2</v>
      </c>
      <c r="C52">
        <f>COUNTIF(donnees!$C$2:$C$151,B52)</f>
        <v>13</v>
      </c>
      <c r="D52" s="30">
        <f t="shared" ref="D52:D72" si="3">D51+C52</f>
        <v>45</v>
      </c>
      <c r="E52" s="29">
        <f t="shared" si="2"/>
        <v>8.6666666666666679</v>
      </c>
      <c r="F52" s="29">
        <f t="shared" ref="F52:F72" si="4">F51+E52</f>
        <v>30.000000000000004</v>
      </c>
    </row>
    <row r="53" spans="2:6" x14ac:dyDescent="0.35">
      <c r="B53">
        <v>3.1</v>
      </c>
      <c r="C53">
        <f>COUNTIF(donnees!$C$2:$C$151,B53)</f>
        <v>12</v>
      </c>
      <c r="D53" s="30">
        <f t="shared" si="3"/>
        <v>57</v>
      </c>
      <c r="E53" s="29">
        <f t="shared" si="2"/>
        <v>8</v>
      </c>
      <c r="F53" s="29">
        <f t="shared" si="4"/>
        <v>38</v>
      </c>
    </row>
    <row r="54" spans="2:6" x14ac:dyDescent="0.35">
      <c r="B54">
        <v>3.6</v>
      </c>
      <c r="C54">
        <f>COUNTIF(donnees!$C$2:$C$151,B54)</f>
        <v>3</v>
      </c>
      <c r="D54" s="30">
        <f t="shared" si="3"/>
        <v>60</v>
      </c>
      <c r="E54" s="29">
        <f t="shared" si="2"/>
        <v>2</v>
      </c>
      <c r="F54" s="29">
        <f t="shared" si="4"/>
        <v>40</v>
      </c>
    </row>
    <row r="55" spans="2:6" x14ac:dyDescent="0.35">
      <c r="B55">
        <v>3.9</v>
      </c>
      <c r="C55">
        <f>COUNTIF(donnees!$C$2:$C$151,B55)</f>
        <v>2</v>
      </c>
      <c r="D55" s="30">
        <f t="shared" si="3"/>
        <v>62</v>
      </c>
      <c r="E55" s="29">
        <f t="shared" si="2"/>
        <v>1.3333333333333335</v>
      </c>
      <c r="F55" s="29">
        <f t="shared" si="4"/>
        <v>41.333333333333336</v>
      </c>
    </row>
    <row r="56" spans="2:6" x14ac:dyDescent="0.35">
      <c r="B56">
        <v>3.4</v>
      </c>
      <c r="C56">
        <f>COUNTIF(donnees!$C$2:$C$151,B56)</f>
        <v>12</v>
      </c>
      <c r="D56" s="30">
        <f t="shared" si="3"/>
        <v>74</v>
      </c>
      <c r="E56" s="29">
        <f t="shared" si="2"/>
        <v>8</v>
      </c>
      <c r="F56" s="29">
        <f t="shared" si="4"/>
        <v>49.333333333333336</v>
      </c>
    </row>
    <row r="57" spans="2:6" x14ac:dyDescent="0.35">
      <c r="B57">
        <v>2.9</v>
      </c>
      <c r="C57">
        <f>COUNTIF(donnees!$C$2:$C$151,B57)</f>
        <v>10</v>
      </c>
      <c r="D57" s="30">
        <f t="shared" si="3"/>
        <v>84</v>
      </c>
      <c r="E57" s="29">
        <f t="shared" si="2"/>
        <v>6.666666666666667</v>
      </c>
      <c r="F57" s="29">
        <f t="shared" si="4"/>
        <v>56</v>
      </c>
    </row>
    <row r="58" spans="2:6" x14ac:dyDescent="0.35">
      <c r="B58">
        <v>3.7</v>
      </c>
      <c r="C58">
        <f>COUNTIF(donnees!$C$2:$C$151,B58)</f>
        <v>3</v>
      </c>
      <c r="D58" s="30">
        <f t="shared" si="3"/>
        <v>87</v>
      </c>
      <c r="E58" s="29">
        <f t="shared" si="2"/>
        <v>2</v>
      </c>
      <c r="F58" s="29">
        <f t="shared" si="4"/>
        <v>58</v>
      </c>
    </row>
    <row r="59" spans="2:6" x14ac:dyDescent="0.35">
      <c r="B59">
        <v>4</v>
      </c>
      <c r="C59">
        <f>COUNTIF(donnees!$C$2:$C$151,B59)</f>
        <v>1</v>
      </c>
      <c r="D59" s="30">
        <f t="shared" si="3"/>
        <v>88</v>
      </c>
      <c r="E59" s="29">
        <f t="shared" si="2"/>
        <v>0.66666666666666674</v>
      </c>
      <c r="F59" s="29">
        <f t="shared" si="4"/>
        <v>58.666666666666664</v>
      </c>
    </row>
    <row r="60" spans="2:6" x14ac:dyDescent="0.35">
      <c r="B60">
        <v>4.4000000000000004</v>
      </c>
      <c r="C60">
        <f>COUNTIF(donnees!$C$2:$C$151,B60)</f>
        <v>1</v>
      </c>
      <c r="D60" s="30">
        <f t="shared" si="3"/>
        <v>89</v>
      </c>
      <c r="E60" s="29">
        <f t="shared" si="2"/>
        <v>0.66666666666666674</v>
      </c>
      <c r="F60" s="29">
        <f t="shared" si="4"/>
        <v>59.333333333333329</v>
      </c>
    </row>
    <row r="61" spans="2:6" x14ac:dyDescent="0.35">
      <c r="B61">
        <v>3.8</v>
      </c>
      <c r="C61">
        <f>COUNTIF(donnees!$C$2:$C$151,B61)</f>
        <v>6</v>
      </c>
      <c r="D61" s="30">
        <f t="shared" si="3"/>
        <v>95</v>
      </c>
      <c r="E61" s="29">
        <f t="shared" si="2"/>
        <v>4</v>
      </c>
      <c r="F61" s="29">
        <f t="shared" si="4"/>
        <v>63.333333333333329</v>
      </c>
    </row>
    <row r="62" spans="2:6" x14ac:dyDescent="0.35">
      <c r="B62">
        <v>3.3</v>
      </c>
      <c r="C62">
        <f>COUNTIF(donnees!$C$2:$C$151,B62)</f>
        <v>6</v>
      </c>
      <c r="D62" s="30">
        <f t="shared" si="3"/>
        <v>101</v>
      </c>
      <c r="E62" s="29">
        <f t="shared" si="2"/>
        <v>4</v>
      </c>
      <c r="F62" s="29">
        <f t="shared" si="4"/>
        <v>67.333333333333329</v>
      </c>
    </row>
    <row r="63" spans="2:6" x14ac:dyDescent="0.35">
      <c r="B63">
        <v>4.0999999999999996</v>
      </c>
      <c r="C63">
        <f>COUNTIF(donnees!$C$2:$C$151,B63)</f>
        <v>1</v>
      </c>
      <c r="D63" s="30">
        <f t="shared" si="3"/>
        <v>102</v>
      </c>
      <c r="E63" s="29">
        <f t="shared" si="2"/>
        <v>0.66666666666666674</v>
      </c>
      <c r="F63" s="29">
        <f t="shared" si="4"/>
        <v>68</v>
      </c>
    </row>
    <row r="64" spans="2:6" x14ac:dyDescent="0.35">
      <c r="B64">
        <v>4.2</v>
      </c>
      <c r="C64">
        <f>COUNTIF(donnees!$C$2:$C$151,B64)</f>
        <v>1</v>
      </c>
      <c r="D64" s="30">
        <f t="shared" si="3"/>
        <v>103</v>
      </c>
      <c r="E64" s="29">
        <f t="shared" si="2"/>
        <v>0.66666666666666674</v>
      </c>
      <c r="F64" s="29">
        <f t="shared" si="4"/>
        <v>68.666666666666671</v>
      </c>
    </row>
    <row r="65" spans="2:6" x14ac:dyDescent="0.35">
      <c r="B65">
        <v>2.2999999999999998</v>
      </c>
      <c r="C65">
        <f>COUNTIF(donnees!$C$2:$C$151,B65)</f>
        <v>4</v>
      </c>
      <c r="D65" s="30">
        <f t="shared" si="3"/>
        <v>107</v>
      </c>
      <c r="E65" s="29">
        <f t="shared" si="2"/>
        <v>2.666666666666667</v>
      </c>
      <c r="F65" s="29">
        <f t="shared" si="4"/>
        <v>71.333333333333343</v>
      </c>
    </row>
    <row r="66" spans="2:6" x14ac:dyDescent="0.35">
      <c r="B66">
        <v>2.8</v>
      </c>
      <c r="C66">
        <f>COUNTIF(donnees!$C$2:$C$151,B66)</f>
        <v>14</v>
      </c>
      <c r="D66" s="30">
        <f t="shared" si="3"/>
        <v>121</v>
      </c>
      <c r="E66" s="29">
        <f t="shared" si="2"/>
        <v>9.3333333333333339</v>
      </c>
      <c r="F66" s="29">
        <f t="shared" si="4"/>
        <v>80.666666666666671</v>
      </c>
    </row>
    <row r="67" spans="2:6" x14ac:dyDescent="0.35">
      <c r="B67">
        <v>2.4</v>
      </c>
      <c r="C67">
        <f>COUNTIF(donnees!$C$2:$C$151,B67)</f>
        <v>3</v>
      </c>
      <c r="D67" s="30">
        <f t="shared" si="3"/>
        <v>124</v>
      </c>
      <c r="E67" s="29">
        <f t="shared" si="2"/>
        <v>2</v>
      </c>
      <c r="F67" s="29">
        <f t="shared" si="4"/>
        <v>82.666666666666671</v>
      </c>
    </row>
    <row r="68" spans="2:6" x14ac:dyDescent="0.35">
      <c r="B68">
        <v>2.7</v>
      </c>
      <c r="C68">
        <f>COUNTIF(donnees!$C$2:$C$151,B68)</f>
        <v>9</v>
      </c>
      <c r="D68" s="30">
        <f t="shared" si="3"/>
        <v>133</v>
      </c>
      <c r="E68" s="29">
        <f t="shared" si="2"/>
        <v>6</v>
      </c>
      <c r="F68" s="29">
        <f t="shared" si="4"/>
        <v>88.666666666666671</v>
      </c>
    </row>
    <row r="69" spans="2:6" x14ac:dyDescent="0.35">
      <c r="B69">
        <v>2</v>
      </c>
      <c r="C69">
        <f>COUNTIF(donnees!$C$2:$C$151,B69)</f>
        <v>1</v>
      </c>
      <c r="D69" s="30">
        <f t="shared" si="3"/>
        <v>134</v>
      </c>
      <c r="E69" s="29">
        <f t="shared" si="2"/>
        <v>0.66666666666666674</v>
      </c>
      <c r="F69" s="29">
        <f t="shared" si="4"/>
        <v>89.333333333333343</v>
      </c>
    </row>
    <row r="70" spans="2:6" x14ac:dyDescent="0.35">
      <c r="B70">
        <v>2.2000000000000002</v>
      </c>
      <c r="C70">
        <f>COUNTIF(donnees!$C$2:$C$151,B70)</f>
        <v>3</v>
      </c>
      <c r="D70" s="30">
        <f t="shared" si="3"/>
        <v>137</v>
      </c>
      <c r="E70" s="29">
        <f t="shared" si="2"/>
        <v>2</v>
      </c>
      <c r="F70" s="29">
        <f t="shared" si="4"/>
        <v>91.333333333333343</v>
      </c>
    </row>
    <row r="71" spans="2:6" x14ac:dyDescent="0.35">
      <c r="B71">
        <v>2.5</v>
      </c>
      <c r="C71">
        <f>COUNTIF(donnees!$C$2:$C$151,B71)</f>
        <v>8</v>
      </c>
      <c r="D71" s="30">
        <f t="shared" si="3"/>
        <v>145</v>
      </c>
      <c r="E71" s="29">
        <f t="shared" si="2"/>
        <v>5.3333333333333339</v>
      </c>
      <c r="F71" s="29">
        <f t="shared" si="4"/>
        <v>96.666666666666671</v>
      </c>
    </row>
    <row r="72" spans="2:6" x14ac:dyDescent="0.35">
      <c r="B72">
        <v>2.6</v>
      </c>
      <c r="C72">
        <f>COUNTIF(donnees!$C$2:$C$151,B72)</f>
        <v>5</v>
      </c>
      <c r="D72" s="30">
        <f t="shared" si="3"/>
        <v>150</v>
      </c>
      <c r="E72" s="29">
        <f t="shared" si="2"/>
        <v>3.3333333333333335</v>
      </c>
      <c r="F72" s="29">
        <f t="shared" si="4"/>
        <v>100</v>
      </c>
    </row>
    <row r="83" spans="2:7" x14ac:dyDescent="0.35">
      <c r="D83" s="36" t="s">
        <v>53</v>
      </c>
      <c r="E83" s="28"/>
      <c r="F83" s="28"/>
      <c r="G83" s="28"/>
    </row>
    <row r="85" spans="2:7" x14ac:dyDescent="0.35">
      <c r="B85" t="s">
        <v>6</v>
      </c>
      <c r="C85" t="s">
        <v>47</v>
      </c>
      <c r="D85" t="s">
        <v>48</v>
      </c>
      <c r="E85" t="s">
        <v>49</v>
      </c>
      <c r="F85" t="s">
        <v>50</v>
      </c>
    </row>
    <row r="86" spans="2:7" x14ac:dyDescent="0.35">
      <c r="B86">
        <v>1.4</v>
      </c>
      <c r="C86">
        <f>COUNTIF(donnees!$D$2:$D$151,B86)</f>
        <v>12</v>
      </c>
      <c r="D86">
        <f>C86</f>
        <v>12</v>
      </c>
      <c r="E86" s="29">
        <f>C86/$D$128*100</f>
        <v>8</v>
      </c>
      <c r="F86" s="29">
        <f>E86</f>
        <v>8</v>
      </c>
    </row>
    <row r="87" spans="2:7" x14ac:dyDescent="0.35">
      <c r="B87">
        <v>1.3</v>
      </c>
      <c r="C87">
        <f>COUNTIF(donnees!$D$2:$D$151,B87)</f>
        <v>7</v>
      </c>
      <c r="D87">
        <f>D86+C87</f>
        <v>19</v>
      </c>
      <c r="E87" s="29">
        <f t="shared" ref="E87:E128" si="5">C87/$D$128*100</f>
        <v>4.666666666666667</v>
      </c>
      <c r="F87" s="29">
        <f>F86+E87</f>
        <v>12.666666666666668</v>
      </c>
    </row>
    <row r="88" spans="2:7" x14ac:dyDescent="0.35">
      <c r="B88">
        <v>1.5</v>
      </c>
      <c r="C88">
        <f>COUNTIF(donnees!$D$2:$D$151,B88)</f>
        <v>14</v>
      </c>
      <c r="D88">
        <f t="shared" ref="D88:D128" si="6">D87+C88</f>
        <v>33</v>
      </c>
      <c r="E88" s="29">
        <f t="shared" si="5"/>
        <v>9.3333333333333339</v>
      </c>
      <c r="F88" s="29">
        <f t="shared" ref="F88:F128" si="7">F87+E88</f>
        <v>22</v>
      </c>
    </row>
    <row r="89" spans="2:7" x14ac:dyDescent="0.35">
      <c r="B89">
        <v>1.7</v>
      </c>
      <c r="C89">
        <f>COUNTIF(donnees!$D$2:$D$151,B89)</f>
        <v>4</v>
      </c>
      <c r="D89">
        <f t="shared" si="6"/>
        <v>37</v>
      </c>
      <c r="E89" s="29">
        <f t="shared" si="5"/>
        <v>2.666666666666667</v>
      </c>
      <c r="F89" s="29">
        <f t="shared" si="7"/>
        <v>24.666666666666668</v>
      </c>
    </row>
    <row r="90" spans="2:7" x14ac:dyDescent="0.35">
      <c r="B90">
        <v>1.6</v>
      </c>
      <c r="C90">
        <f>COUNTIF(donnees!$D$2:$D$151,B90)</f>
        <v>7</v>
      </c>
      <c r="D90">
        <f t="shared" si="6"/>
        <v>44</v>
      </c>
      <c r="E90" s="29">
        <f t="shared" si="5"/>
        <v>4.666666666666667</v>
      </c>
      <c r="F90" s="29">
        <f t="shared" si="7"/>
        <v>29.333333333333336</v>
      </c>
    </row>
    <row r="91" spans="2:7" x14ac:dyDescent="0.35">
      <c r="B91">
        <v>1.1000000000000001</v>
      </c>
      <c r="C91">
        <f>COUNTIF(donnees!$D$2:$D$151,B91)</f>
        <v>1</v>
      </c>
      <c r="D91">
        <f t="shared" si="6"/>
        <v>45</v>
      </c>
      <c r="E91" s="29">
        <f t="shared" si="5"/>
        <v>0.66666666666666674</v>
      </c>
      <c r="F91" s="29">
        <f t="shared" si="7"/>
        <v>30.000000000000004</v>
      </c>
    </row>
    <row r="92" spans="2:7" x14ac:dyDescent="0.35">
      <c r="B92">
        <v>1.2</v>
      </c>
      <c r="C92">
        <f>COUNTIF(donnees!$D$2:$D$151,B92)</f>
        <v>2</v>
      </c>
      <c r="D92">
        <f t="shared" si="6"/>
        <v>47</v>
      </c>
      <c r="E92" s="29">
        <f t="shared" si="5"/>
        <v>1.3333333333333335</v>
      </c>
      <c r="F92" s="29">
        <f t="shared" si="7"/>
        <v>31.333333333333336</v>
      </c>
    </row>
    <row r="93" spans="2:7" x14ac:dyDescent="0.35">
      <c r="B93">
        <v>1</v>
      </c>
      <c r="C93">
        <f>COUNTIF(donnees!$D$2:$D$151,B93)</f>
        <v>1</v>
      </c>
      <c r="D93">
        <f t="shared" si="6"/>
        <v>48</v>
      </c>
      <c r="E93" s="29">
        <f t="shared" si="5"/>
        <v>0.66666666666666674</v>
      </c>
      <c r="F93" s="29">
        <f t="shared" si="7"/>
        <v>32</v>
      </c>
    </row>
    <row r="94" spans="2:7" x14ac:dyDescent="0.35">
      <c r="B94">
        <v>1.9</v>
      </c>
      <c r="C94">
        <f>COUNTIF(donnees!$D$2:$D$151,B94)</f>
        <v>2</v>
      </c>
      <c r="D94">
        <f t="shared" si="6"/>
        <v>50</v>
      </c>
      <c r="E94" s="29">
        <f t="shared" si="5"/>
        <v>1.3333333333333335</v>
      </c>
      <c r="F94" s="29">
        <f t="shared" si="7"/>
        <v>33.333333333333336</v>
      </c>
    </row>
    <row r="95" spans="2:7" x14ac:dyDescent="0.35">
      <c r="B95">
        <v>4.7</v>
      </c>
      <c r="C95">
        <f>COUNTIF(donnees!$D$2:$D$151,B95)</f>
        <v>5</v>
      </c>
      <c r="D95">
        <f t="shared" si="6"/>
        <v>55</v>
      </c>
      <c r="E95" s="29">
        <f t="shared" si="5"/>
        <v>3.3333333333333335</v>
      </c>
      <c r="F95" s="29">
        <f t="shared" si="7"/>
        <v>36.666666666666671</v>
      </c>
    </row>
    <row r="96" spans="2:7" x14ac:dyDescent="0.35">
      <c r="B96">
        <v>4.5</v>
      </c>
      <c r="C96">
        <f>COUNTIF(donnees!$D$2:$D$151,B96)</f>
        <v>8</v>
      </c>
      <c r="D96">
        <f t="shared" si="6"/>
        <v>63</v>
      </c>
      <c r="E96" s="29">
        <f t="shared" si="5"/>
        <v>5.3333333333333339</v>
      </c>
      <c r="F96" s="29">
        <f t="shared" si="7"/>
        <v>42.000000000000007</v>
      </c>
    </row>
    <row r="97" spans="2:6" x14ac:dyDescent="0.35">
      <c r="B97">
        <v>4.9000000000000004</v>
      </c>
      <c r="C97">
        <f>COUNTIF(donnees!$D$2:$D$151,B97)</f>
        <v>5</v>
      </c>
      <c r="D97">
        <f t="shared" si="6"/>
        <v>68</v>
      </c>
      <c r="E97" s="29">
        <f t="shared" si="5"/>
        <v>3.3333333333333335</v>
      </c>
      <c r="F97" s="29">
        <f t="shared" si="7"/>
        <v>45.333333333333343</v>
      </c>
    </row>
    <row r="98" spans="2:6" x14ac:dyDescent="0.35">
      <c r="B98">
        <v>4</v>
      </c>
      <c r="C98">
        <f>COUNTIF(donnees!$D$2:$D$151,B98)</f>
        <v>5</v>
      </c>
      <c r="D98">
        <f t="shared" si="6"/>
        <v>73</v>
      </c>
      <c r="E98" s="29">
        <f t="shared" si="5"/>
        <v>3.3333333333333335</v>
      </c>
      <c r="F98" s="29">
        <f t="shared" si="7"/>
        <v>48.666666666666679</v>
      </c>
    </row>
    <row r="99" spans="2:6" x14ac:dyDescent="0.35">
      <c r="B99">
        <v>4.5999999999999996</v>
      </c>
      <c r="C99">
        <f>COUNTIF(donnees!$D$2:$D$151,B99)</f>
        <v>3</v>
      </c>
      <c r="D99">
        <f t="shared" si="6"/>
        <v>76</v>
      </c>
      <c r="E99" s="29">
        <f t="shared" si="5"/>
        <v>2</v>
      </c>
      <c r="F99" s="29">
        <f t="shared" si="7"/>
        <v>50.666666666666679</v>
      </c>
    </row>
    <row r="100" spans="2:6" x14ac:dyDescent="0.35">
      <c r="B100">
        <v>3.3</v>
      </c>
      <c r="C100">
        <f>COUNTIF(donnees!$D$2:$D$151,B100)</f>
        <v>2</v>
      </c>
      <c r="D100">
        <f t="shared" si="6"/>
        <v>78</v>
      </c>
      <c r="E100" s="29">
        <f t="shared" si="5"/>
        <v>1.3333333333333335</v>
      </c>
      <c r="F100" s="29">
        <f t="shared" si="7"/>
        <v>52.000000000000014</v>
      </c>
    </row>
    <row r="101" spans="2:6" x14ac:dyDescent="0.35">
      <c r="B101">
        <v>3.9</v>
      </c>
      <c r="C101">
        <f>COUNTIF(donnees!$D$2:$D$151,B101)</f>
        <v>3</v>
      </c>
      <c r="D101">
        <f t="shared" si="6"/>
        <v>81</v>
      </c>
      <c r="E101" s="29">
        <f t="shared" si="5"/>
        <v>2</v>
      </c>
      <c r="F101" s="29">
        <f t="shared" si="7"/>
        <v>54.000000000000014</v>
      </c>
    </row>
    <row r="102" spans="2:6" x14ac:dyDescent="0.35">
      <c r="B102">
        <v>3.5</v>
      </c>
      <c r="C102">
        <f>COUNTIF(donnees!$D$2:$D$151,B102)</f>
        <v>2</v>
      </c>
      <c r="D102">
        <f t="shared" si="6"/>
        <v>83</v>
      </c>
      <c r="E102" s="29">
        <f t="shared" si="5"/>
        <v>1.3333333333333335</v>
      </c>
      <c r="F102" s="29">
        <f t="shared" si="7"/>
        <v>55.33333333333335</v>
      </c>
    </row>
    <row r="103" spans="2:6" x14ac:dyDescent="0.35">
      <c r="B103">
        <v>4.2</v>
      </c>
      <c r="C103">
        <f>COUNTIF(donnees!$D$2:$D$151,B103)</f>
        <v>4</v>
      </c>
      <c r="D103">
        <f t="shared" si="6"/>
        <v>87</v>
      </c>
      <c r="E103" s="29">
        <f t="shared" si="5"/>
        <v>2.666666666666667</v>
      </c>
      <c r="F103" s="29">
        <f t="shared" si="7"/>
        <v>58.000000000000014</v>
      </c>
    </row>
    <row r="104" spans="2:6" x14ac:dyDescent="0.35">
      <c r="B104">
        <v>3.6</v>
      </c>
      <c r="C104">
        <f>COUNTIF(donnees!$D$2:$D$151,B104)</f>
        <v>1</v>
      </c>
      <c r="D104">
        <f t="shared" si="6"/>
        <v>88</v>
      </c>
      <c r="E104" s="29">
        <f t="shared" si="5"/>
        <v>0.66666666666666674</v>
      </c>
      <c r="F104" s="29">
        <f t="shared" si="7"/>
        <v>58.666666666666679</v>
      </c>
    </row>
    <row r="105" spans="2:6" x14ac:dyDescent="0.35">
      <c r="B105">
        <v>4.4000000000000004</v>
      </c>
      <c r="C105">
        <f>COUNTIF(donnees!$D$2:$D$151,B105)</f>
        <v>4</v>
      </c>
      <c r="D105">
        <f t="shared" si="6"/>
        <v>92</v>
      </c>
      <c r="E105" s="29">
        <f t="shared" si="5"/>
        <v>2.666666666666667</v>
      </c>
      <c r="F105" s="29">
        <f t="shared" si="7"/>
        <v>61.333333333333343</v>
      </c>
    </row>
    <row r="106" spans="2:6" x14ac:dyDescent="0.35">
      <c r="B106">
        <v>4.0999999999999996</v>
      </c>
      <c r="C106">
        <f>COUNTIF(donnees!$D$2:$D$151,B106)</f>
        <v>3</v>
      </c>
      <c r="D106">
        <f t="shared" si="6"/>
        <v>95</v>
      </c>
      <c r="E106" s="29">
        <f t="shared" si="5"/>
        <v>2</v>
      </c>
      <c r="F106" s="29">
        <f t="shared" si="7"/>
        <v>63.333333333333343</v>
      </c>
    </row>
    <row r="107" spans="2:6" x14ac:dyDescent="0.35">
      <c r="B107">
        <v>4.8</v>
      </c>
      <c r="C107">
        <f>COUNTIF(donnees!$D$2:$D$151,B107)</f>
        <v>4</v>
      </c>
      <c r="D107">
        <f t="shared" si="6"/>
        <v>99</v>
      </c>
      <c r="E107" s="29">
        <f t="shared" si="5"/>
        <v>2.666666666666667</v>
      </c>
      <c r="F107" s="29">
        <f t="shared" si="7"/>
        <v>66.000000000000014</v>
      </c>
    </row>
    <row r="108" spans="2:6" x14ac:dyDescent="0.35">
      <c r="B108">
        <v>4.3</v>
      </c>
      <c r="C108">
        <f>COUNTIF(donnees!$D$2:$D$151,B108)</f>
        <v>2</v>
      </c>
      <c r="D108">
        <f t="shared" si="6"/>
        <v>101</v>
      </c>
      <c r="E108" s="29">
        <f t="shared" si="5"/>
        <v>1.3333333333333335</v>
      </c>
      <c r="F108" s="29">
        <f t="shared" si="7"/>
        <v>67.333333333333343</v>
      </c>
    </row>
    <row r="109" spans="2:6" x14ac:dyDescent="0.35">
      <c r="B109">
        <v>5</v>
      </c>
      <c r="C109">
        <f>COUNTIF(donnees!$D$2:$D$151,B109)</f>
        <v>4</v>
      </c>
      <c r="D109">
        <f t="shared" si="6"/>
        <v>105</v>
      </c>
      <c r="E109" s="29">
        <f t="shared" si="5"/>
        <v>2.666666666666667</v>
      </c>
      <c r="F109" s="29">
        <f t="shared" si="7"/>
        <v>70.000000000000014</v>
      </c>
    </row>
    <row r="110" spans="2:6" x14ac:dyDescent="0.35">
      <c r="B110">
        <v>3.8</v>
      </c>
      <c r="C110">
        <f>COUNTIF(donnees!$D$2:$D$151,B110)</f>
        <v>1</v>
      </c>
      <c r="D110">
        <f t="shared" si="6"/>
        <v>106</v>
      </c>
      <c r="E110" s="29">
        <f t="shared" si="5"/>
        <v>0.66666666666666674</v>
      </c>
      <c r="F110" s="29">
        <f t="shared" si="7"/>
        <v>70.666666666666686</v>
      </c>
    </row>
    <row r="111" spans="2:6" x14ac:dyDescent="0.35">
      <c r="B111">
        <v>3.7</v>
      </c>
      <c r="C111">
        <f>COUNTIF(donnees!$D$2:$D$151,B111)</f>
        <v>1</v>
      </c>
      <c r="D111">
        <f t="shared" si="6"/>
        <v>107</v>
      </c>
      <c r="E111" s="29">
        <f t="shared" si="5"/>
        <v>0.66666666666666674</v>
      </c>
      <c r="F111" s="29">
        <f t="shared" si="7"/>
        <v>71.333333333333357</v>
      </c>
    </row>
    <row r="112" spans="2:6" x14ac:dyDescent="0.35">
      <c r="B112">
        <v>5.0999999999999996</v>
      </c>
      <c r="C112">
        <f>COUNTIF(donnees!$D$2:$D$151,B112)</f>
        <v>8</v>
      </c>
      <c r="D112">
        <f t="shared" si="6"/>
        <v>115</v>
      </c>
      <c r="E112" s="29">
        <f t="shared" si="5"/>
        <v>5.3333333333333339</v>
      </c>
      <c r="F112" s="29">
        <f t="shared" si="7"/>
        <v>76.666666666666686</v>
      </c>
    </row>
    <row r="113" spans="2:6" x14ac:dyDescent="0.35">
      <c r="B113">
        <v>3</v>
      </c>
      <c r="C113">
        <f>COUNTIF(donnees!$D$2:$D$151,B113)</f>
        <v>1</v>
      </c>
      <c r="D113">
        <f t="shared" si="6"/>
        <v>116</v>
      </c>
      <c r="E113" s="29">
        <f t="shared" si="5"/>
        <v>0.66666666666666674</v>
      </c>
      <c r="F113" s="29">
        <f t="shared" si="7"/>
        <v>77.333333333333357</v>
      </c>
    </row>
    <row r="114" spans="2:6" x14ac:dyDescent="0.35">
      <c r="B114">
        <v>6</v>
      </c>
      <c r="C114">
        <f>COUNTIF(donnees!$D$2:$D$151,B114)</f>
        <v>2</v>
      </c>
      <c r="D114">
        <f t="shared" si="6"/>
        <v>118</v>
      </c>
      <c r="E114" s="29">
        <f t="shared" si="5"/>
        <v>1.3333333333333335</v>
      </c>
      <c r="F114" s="29">
        <f t="shared" si="7"/>
        <v>78.666666666666686</v>
      </c>
    </row>
    <row r="115" spans="2:6" x14ac:dyDescent="0.35">
      <c r="B115">
        <v>5.9</v>
      </c>
      <c r="C115">
        <f>COUNTIF(donnees!$D$2:$D$151,B115)</f>
        <v>2</v>
      </c>
      <c r="D115">
        <f t="shared" si="6"/>
        <v>120</v>
      </c>
      <c r="E115" s="29">
        <f t="shared" si="5"/>
        <v>1.3333333333333335</v>
      </c>
      <c r="F115" s="29">
        <f t="shared" si="7"/>
        <v>80.000000000000014</v>
      </c>
    </row>
    <row r="116" spans="2:6" x14ac:dyDescent="0.35">
      <c r="B116">
        <v>5.6</v>
      </c>
      <c r="C116">
        <f>COUNTIF(donnees!$D$2:$D$151,B116)</f>
        <v>6</v>
      </c>
      <c r="D116">
        <f t="shared" si="6"/>
        <v>126</v>
      </c>
      <c r="E116" s="29">
        <f t="shared" si="5"/>
        <v>4</v>
      </c>
      <c r="F116" s="29">
        <f t="shared" si="7"/>
        <v>84.000000000000014</v>
      </c>
    </row>
    <row r="117" spans="2:6" x14ac:dyDescent="0.35">
      <c r="B117">
        <v>5.8</v>
      </c>
      <c r="C117">
        <f>COUNTIF(donnees!$D$2:$D$151,B117)</f>
        <v>3</v>
      </c>
      <c r="D117">
        <f t="shared" si="6"/>
        <v>129</v>
      </c>
      <c r="E117" s="29">
        <f t="shared" si="5"/>
        <v>2</v>
      </c>
      <c r="F117" s="29">
        <f t="shared" si="7"/>
        <v>86.000000000000014</v>
      </c>
    </row>
    <row r="118" spans="2:6" x14ac:dyDescent="0.35">
      <c r="B118">
        <v>6.6</v>
      </c>
      <c r="C118">
        <f>COUNTIF(donnees!$D$2:$D$151,B118)</f>
        <v>1</v>
      </c>
      <c r="D118">
        <f t="shared" si="6"/>
        <v>130</v>
      </c>
      <c r="E118" s="29">
        <f t="shared" si="5"/>
        <v>0.66666666666666674</v>
      </c>
      <c r="F118" s="29">
        <f t="shared" si="7"/>
        <v>86.666666666666686</v>
      </c>
    </row>
    <row r="119" spans="2:6" x14ac:dyDescent="0.35">
      <c r="B119">
        <v>6.3</v>
      </c>
      <c r="C119">
        <f>COUNTIF(donnees!$D$2:$D$151,B119)</f>
        <v>1</v>
      </c>
      <c r="D119">
        <f t="shared" si="6"/>
        <v>131</v>
      </c>
      <c r="E119" s="29">
        <f t="shared" si="5"/>
        <v>0.66666666666666674</v>
      </c>
      <c r="F119" s="29">
        <f t="shared" si="7"/>
        <v>87.333333333333357</v>
      </c>
    </row>
    <row r="120" spans="2:6" x14ac:dyDescent="0.35">
      <c r="B120">
        <v>6.1</v>
      </c>
      <c r="C120">
        <f>COUNTIF(donnees!$D$2:$D$151,B120)</f>
        <v>3</v>
      </c>
      <c r="D120">
        <f t="shared" si="6"/>
        <v>134</v>
      </c>
      <c r="E120" s="29">
        <f t="shared" si="5"/>
        <v>2</v>
      </c>
      <c r="F120" s="29">
        <f t="shared" si="7"/>
        <v>89.333333333333357</v>
      </c>
    </row>
    <row r="121" spans="2:6" x14ac:dyDescent="0.35">
      <c r="B121">
        <v>5.3</v>
      </c>
      <c r="C121">
        <f>COUNTIF(donnees!$D$2:$D$151,B121)</f>
        <v>2</v>
      </c>
      <c r="D121">
        <f t="shared" si="6"/>
        <v>136</v>
      </c>
      <c r="E121" s="29">
        <f t="shared" si="5"/>
        <v>1.3333333333333335</v>
      </c>
      <c r="F121" s="29">
        <f t="shared" si="7"/>
        <v>90.666666666666686</v>
      </c>
    </row>
    <row r="122" spans="2:6" x14ac:dyDescent="0.35">
      <c r="B122">
        <v>5.5</v>
      </c>
      <c r="C122">
        <f>COUNTIF(donnees!$D$2:$D$151,B122)</f>
        <v>3</v>
      </c>
      <c r="D122">
        <f t="shared" si="6"/>
        <v>139</v>
      </c>
      <c r="E122" s="29">
        <f t="shared" si="5"/>
        <v>2</v>
      </c>
      <c r="F122" s="29">
        <f t="shared" si="7"/>
        <v>92.666666666666686</v>
      </c>
    </row>
    <row r="123" spans="2:6" x14ac:dyDescent="0.35">
      <c r="B123">
        <v>6.7</v>
      </c>
      <c r="C123">
        <f>COUNTIF(donnees!$D$2:$D$151,B123)</f>
        <v>2</v>
      </c>
      <c r="D123">
        <f t="shared" si="6"/>
        <v>141</v>
      </c>
      <c r="E123" s="29">
        <f t="shared" si="5"/>
        <v>1.3333333333333335</v>
      </c>
      <c r="F123" s="29">
        <f t="shared" si="7"/>
        <v>94.000000000000014</v>
      </c>
    </row>
    <row r="124" spans="2:6" x14ac:dyDescent="0.35">
      <c r="B124">
        <v>6.9</v>
      </c>
      <c r="C124">
        <f>COUNTIF(donnees!$D$2:$D$151,B124)</f>
        <v>1</v>
      </c>
      <c r="D124">
        <f t="shared" si="6"/>
        <v>142</v>
      </c>
      <c r="E124" s="29">
        <f t="shared" si="5"/>
        <v>0.66666666666666674</v>
      </c>
      <c r="F124" s="29">
        <f t="shared" si="7"/>
        <v>94.666666666666686</v>
      </c>
    </row>
    <row r="125" spans="2:6" x14ac:dyDescent="0.35">
      <c r="B125">
        <v>5.7</v>
      </c>
      <c r="C125">
        <f>COUNTIF(donnees!$D$2:$D$151,B125)</f>
        <v>3</v>
      </c>
      <c r="D125">
        <f t="shared" si="6"/>
        <v>145</v>
      </c>
      <c r="E125" s="29">
        <f t="shared" si="5"/>
        <v>2</v>
      </c>
      <c r="F125" s="29">
        <f t="shared" si="7"/>
        <v>96.666666666666686</v>
      </c>
    </row>
    <row r="126" spans="2:6" x14ac:dyDescent="0.35">
      <c r="B126">
        <v>6.4</v>
      </c>
      <c r="C126">
        <f>COUNTIF(donnees!$D$2:$D$151,B126)</f>
        <v>1</v>
      </c>
      <c r="D126">
        <f t="shared" si="6"/>
        <v>146</v>
      </c>
      <c r="E126" s="29">
        <f t="shared" si="5"/>
        <v>0.66666666666666674</v>
      </c>
      <c r="F126" s="29">
        <f t="shared" si="7"/>
        <v>97.333333333333357</v>
      </c>
    </row>
    <row r="127" spans="2:6" x14ac:dyDescent="0.35">
      <c r="B127">
        <v>5.4</v>
      </c>
      <c r="C127">
        <f>COUNTIF(donnees!$D$2:$D$151,B127)</f>
        <v>2</v>
      </c>
      <c r="D127">
        <f t="shared" si="6"/>
        <v>148</v>
      </c>
      <c r="E127" s="29">
        <f t="shared" si="5"/>
        <v>1.3333333333333335</v>
      </c>
      <c r="F127" s="29">
        <f t="shared" si="7"/>
        <v>98.666666666666686</v>
      </c>
    </row>
    <row r="128" spans="2:6" x14ac:dyDescent="0.35">
      <c r="B128">
        <v>5.2</v>
      </c>
      <c r="C128">
        <f>COUNTIF(donnees!$D$2:$D$151,B128)</f>
        <v>2</v>
      </c>
      <c r="D128">
        <f t="shared" si="6"/>
        <v>150</v>
      </c>
      <c r="E128" s="29">
        <f t="shared" si="5"/>
        <v>1.3333333333333335</v>
      </c>
      <c r="F128" s="29">
        <f t="shared" si="7"/>
        <v>100.00000000000001</v>
      </c>
    </row>
    <row r="130" spans="2:7" x14ac:dyDescent="0.35">
      <c r="E130" s="29"/>
    </row>
    <row r="133" spans="2:7" x14ac:dyDescent="0.35">
      <c r="D133" s="36" t="s">
        <v>54</v>
      </c>
      <c r="E133" s="36"/>
      <c r="F133" s="36"/>
      <c r="G133" s="36"/>
    </row>
    <row r="136" spans="2:7" x14ac:dyDescent="0.35">
      <c r="B136" t="s">
        <v>7</v>
      </c>
      <c r="C136" t="s">
        <v>47</v>
      </c>
      <c r="D136" t="s">
        <v>48</v>
      </c>
      <c r="E136" t="s">
        <v>49</v>
      </c>
      <c r="F136" t="s">
        <v>50</v>
      </c>
    </row>
    <row r="137" spans="2:7" x14ac:dyDescent="0.35">
      <c r="B137">
        <v>0.2</v>
      </c>
      <c r="C137">
        <f>COUNTIF(donnees!$E$2:$E$151,B137)</f>
        <v>28</v>
      </c>
      <c r="D137">
        <f>C137</f>
        <v>28</v>
      </c>
      <c r="E137" s="29">
        <f>C137/$D$158*100</f>
        <v>18.666666666666668</v>
      </c>
      <c r="F137" s="29">
        <f>E137</f>
        <v>18.666666666666668</v>
      </c>
    </row>
    <row r="138" spans="2:7" x14ac:dyDescent="0.35">
      <c r="B138">
        <v>0.4</v>
      </c>
      <c r="C138">
        <f>COUNTIF(donnees!$E$2:$E$151,B138)</f>
        <v>7</v>
      </c>
      <c r="D138">
        <f>D137+C138</f>
        <v>35</v>
      </c>
      <c r="E138" s="29">
        <f t="shared" ref="E138:E158" si="8">C138/$D$158*100</f>
        <v>4.666666666666667</v>
      </c>
      <c r="F138" s="29">
        <f>F137+E138</f>
        <v>23.333333333333336</v>
      </c>
    </row>
    <row r="139" spans="2:7" x14ac:dyDescent="0.35">
      <c r="B139">
        <v>0.3</v>
      </c>
      <c r="C139">
        <f>COUNTIF(donnees!$E$2:$E$151,B139)</f>
        <v>7</v>
      </c>
      <c r="D139">
        <f t="shared" ref="D139:D158" si="9">D138+C139</f>
        <v>42</v>
      </c>
      <c r="E139" s="29">
        <f t="shared" si="8"/>
        <v>4.666666666666667</v>
      </c>
      <c r="F139" s="29">
        <f t="shared" ref="F139:F158" si="10">F138+E139</f>
        <v>28.000000000000004</v>
      </c>
    </row>
    <row r="140" spans="2:7" x14ac:dyDescent="0.35">
      <c r="B140">
        <v>0.1</v>
      </c>
      <c r="C140">
        <f>COUNTIF(donnees!$E$2:$E$151,B140)</f>
        <v>6</v>
      </c>
      <c r="D140">
        <f t="shared" si="9"/>
        <v>48</v>
      </c>
      <c r="E140" s="29">
        <f t="shared" si="8"/>
        <v>4</v>
      </c>
      <c r="F140" s="29">
        <f t="shared" si="10"/>
        <v>32</v>
      </c>
    </row>
    <row r="141" spans="2:7" x14ac:dyDescent="0.35">
      <c r="B141">
        <v>0.5</v>
      </c>
      <c r="C141">
        <f>COUNTIF(donnees!$E$2:$E$151,B141)</f>
        <v>1</v>
      </c>
      <c r="D141">
        <f t="shared" si="9"/>
        <v>49</v>
      </c>
      <c r="E141" s="29">
        <f t="shared" si="8"/>
        <v>0.66666666666666674</v>
      </c>
      <c r="F141" s="29">
        <f t="shared" si="10"/>
        <v>32.666666666666664</v>
      </c>
    </row>
    <row r="142" spans="2:7" x14ac:dyDescent="0.35">
      <c r="B142">
        <v>0.6</v>
      </c>
      <c r="C142">
        <f>COUNTIF(donnees!$E$2:$E$151,B142)</f>
        <v>1</v>
      </c>
      <c r="D142">
        <f t="shared" si="9"/>
        <v>50</v>
      </c>
      <c r="E142" s="29">
        <f t="shared" si="8"/>
        <v>0.66666666666666674</v>
      </c>
      <c r="F142" s="29">
        <f t="shared" si="10"/>
        <v>33.333333333333329</v>
      </c>
    </row>
    <row r="143" spans="2:7" x14ac:dyDescent="0.35">
      <c r="B143">
        <v>1.4</v>
      </c>
      <c r="C143">
        <f>COUNTIF(donnees!$E$2:$E$151,B143)</f>
        <v>8</v>
      </c>
      <c r="D143">
        <f t="shared" si="9"/>
        <v>58</v>
      </c>
      <c r="E143" s="29">
        <f t="shared" si="8"/>
        <v>5.3333333333333339</v>
      </c>
      <c r="F143" s="29">
        <f t="shared" si="10"/>
        <v>38.666666666666664</v>
      </c>
    </row>
    <row r="144" spans="2:7" x14ac:dyDescent="0.35">
      <c r="B144">
        <v>1.5</v>
      </c>
      <c r="C144">
        <f>COUNTIF(donnees!$E$2:$E$151,B144)</f>
        <v>12</v>
      </c>
      <c r="D144">
        <f t="shared" si="9"/>
        <v>70</v>
      </c>
      <c r="E144" s="29">
        <f t="shared" si="8"/>
        <v>8</v>
      </c>
      <c r="F144" s="29">
        <f t="shared" si="10"/>
        <v>46.666666666666664</v>
      </c>
    </row>
    <row r="145" spans="2:6" x14ac:dyDescent="0.35">
      <c r="B145">
        <v>1.3</v>
      </c>
      <c r="C145">
        <f>COUNTIF(donnees!$E$2:$E$151,B145)</f>
        <v>13</v>
      </c>
      <c r="D145">
        <f t="shared" si="9"/>
        <v>83</v>
      </c>
      <c r="E145" s="29">
        <f t="shared" si="8"/>
        <v>8.6666666666666679</v>
      </c>
      <c r="F145" s="29">
        <f t="shared" si="10"/>
        <v>55.333333333333329</v>
      </c>
    </row>
    <row r="146" spans="2:6" x14ac:dyDescent="0.35">
      <c r="B146">
        <v>1.6</v>
      </c>
      <c r="C146">
        <f>COUNTIF(donnees!$E$2:$E$151,B146)</f>
        <v>4</v>
      </c>
      <c r="D146">
        <f t="shared" si="9"/>
        <v>87</v>
      </c>
      <c r="E146" s="29">
        <f t="shared" si="8"/>
        <v>2.666666666666667</v>
      </c>
      <c r="F146" s="29">
        <f t="shared" si="10"/>
        <v>57.999999999999993</v>
      </c>
    </row>
    <row r="147" spans="2:6" x14ac:dyDescent="0.35">
      <c r="B147">
        <v>1</v>
      </c>
      <c r="C147">
        <f>COUNTIF(donnees!$E$2:$E$151,B147)</f>
        <v>7</v>
      </c>
      <c r="D147">
        <f t="shared" si="9"/>
        <v>94</v>
      </c>
      <c r="E147" s="29">
        <f t="shared" si="8"/>
        <v>4.666666666666667</v>
      </c>
      <c r="F147" s="29">
        <f t="shared" si="10"/>
        <v>62.666666666666657</v>
      </c>
    </row>
    <row r="148" spans="2:6" x14ac:dyDescent="0.35">
      <c r="B148">
        <v>1.1000000000000001</v>
      </c>
      <c r="C148">
        <f>COUNTIF(donnees!$E$2:$E$151,B148)</f>
        <v>3</v>
      </c>
      <c r="D148">
        <f t="shared" si="9"/>
        <v>97</v>
      </c>
      <c r="E148" s="29">
        <f t="shared" si="8"/>
        <v>2</v>
      </c>
      <c r="F148" s="29">
        <f t="shared" si="10"/>
        <v>64.666666666666657</v>
      </c>
    </row>
    <row r="149" spans="2:6" x14ac:dyDescent="0.35">
      <c r="B149">
        <v>1.8</v>
      </c>
      <c r="C149">
        <f>COUNTIF(donnees!$E$2:$E$151,B149)</f>
        <v>12</v>
      </c>
      <c r="D149">
        <f t="shared" si="9"/>
        <v>109</v>
      </c>
      <c r="E149" s="29">
        <f t="shared" si="8"/>
        <v>8</v>
      </c>
      <c r="F149" s="29">
        <f t="shared" si="10"/>
        <v>72.666666666666657</v>
      </c>
    </row>
    <row r="150" spans="2:6" x14ac:dyDescent="0.35">
      <c r="B150">
        <v>1.2</v>
      </c>
      <c r="C150">
        <f>COUNTIF(donnees!$E$2:$E$151,B150)</f>
        <v>5</v>
      </c>
      <c r="D150">
        <f t="shared" si="9"/>
        <v>114</v>
      </c>
      <c r="E150" s="29">
        <f t="shared" si="8"/>
        <v>3.3333333333333335</v>
      </c>
      <c r="F150" s="29">
        <f t="shared" si="10"/>
        <v>75.999999999999986</v>
      </c>
    </row>
    <row r="151" spans="2:6" x14ac:dyDescent="0.35">
      <c r="B151">
        <v>1.7</v>
      </c>
      <c r="C151">
        <f>COUNTIF(donnees!$E$2:$E$151,B151)</f>
        <v>2</v>
      </c>
      <c r="D151">
        <f t="shared" si="9"/>
        <v>116</v>
      </c>
      <c r="E151" s="29">
        <f t="shared" si="8"/>
        <v>1.3333333333333335</v>
      </c>
      <c r="F151" s="29">
        <f t="shared" si="10"/>
        <v>77.333333333333314</v>
      </c>
    </row>
    <row r="152" spans="2:6" x14ac:dyDescent="0.35">
      <c r="B152">
        <v>2.5</v>
      </c>
      <c r="C152">
        <f>COUNTIF(donnees!$E$2:$E$151,B152)</f>
        <v>3</v>
      </c>
      <c r="D152">
        <f t="shared" si="9"/>
        <v>119</v>
      </c>
      <c r="E152" s="29">
        <f t="shared" si="8"/>
        <v>2</v>
      </c>
      <c r="F152" s="29">
        <f t="shared" si="10"/>
        <v>79.333333333333314</v>
      </c>
    </row>
    <row r="153" spans="2:6" x14ac:dyDescent="0.35">
      <c r="B153">
        <v>1.9</v>
      </c>
      <c r="C153">
        <f>COUNTIF(donnees!$E$2:$E$151,B153)</f>
        <v>5</v>
      </c>
      <c r="D153">
        <f t="shared" si="9"/>
        <v>124</v>
      </c>
      <c r="E153" s="29">
        <f t="shared" si="8"/>
        <v>3.3333333333333335</v>
      </c>
      <c r="F153" s="29">
        <f t="shared" si="10"/>
        <v>82.666666666666643</v>
      </c>
    </row>
    <row r="154" spans="2:6" x14ac:dyDescent="0.35">
      <c r="B154">
        <v>2.1</v>
      </c>
      <c r="C154">
        <f>COUNTIF(donnees!$E$2:$E$151,B154)</f>
        <v>6</v>
      </c>
      <c r="D154">
        <f t="shared" si="9"/>
        <v>130</v>
      </c>
      <c r="E154" s="29">
        <f t="shared" si="8"/>
        <v>4</v>
      </c>
      <c r="F154" s="29">
        <f t="shared" si="10"/>
        <v>86.666666666666643</v>
      </c>
    </row>
    <row r="155" spans="2:6" x14ac:dyDescent="0.35">
      <c r="B155">
        <v>2.2000000000000002</v>
      </c>
      <c r="C155">
        <f>COUNTIF(donnees!$E$2:$E$151,B155)</f>
        <v>3</v>
      </c>
      <c r="D155">
        <f t="shared" si="9"/>
        <v>133</v>
      </c>
      <c r="E155" s="29">
        <f t="shared" si="8"/>
        <v>2</v>
      </c>
      <c r="F155" s="29">
        <f t="shared" si="10"/>
        <v>88.666666666666643</v>
      </c>
    </row>
    <row r="156" spans="2:6" x14ac:dyDescent="0.35">
      <c r="B156">
        <v>2</v>
      </c>
      <c r="C156">
        <f>COUNTIF(donnees!$E$2:$E$151,B156)</f>
        <v>6</v>
      </c>
      <c r="D156">
        <f t="shared" si="9"/>
        <v>139</v>
      </c>
      <c r="E156" s="29">
        <f t="shared" si="8"/>
        <v>4</v>
      </c>
      <c r="F156" s="29">
        <f t="shared" si="10"/>
        <v>92.666666666666643</v>
      </c>
    </row>
    <row r="157" spans="2:6" x14ac:dyDescent="0.35">
      <c r="B157">
        <v>2.4</v>
      </c>
      <c r="C157">
        <f>COUNTIF(donnees!$E$2:$E$151,B157)</f>
        <v>3</v>
      </c>
      <c r="D157">
        <f t="shared" si="9"/>
        <v>142</v>
      </c>
      <c r="E157" s="29">
        <f t="shared" si="8"/>
        <v>2</v>
      </c>
      <c r="F157" s="29">
        <f t="shared" si="10"/>
        <v>94.666666666666643</v>
      </c>
    </row>
    <row r="158" spans="2:6" x14ac:dyDescent="0.35">
      <c r="B158">
        <v>2.2999999999999998</v>
      </c>
      <c r="C158">
        <f>COUNTIF(donnees!$E$2:$E$151,B158)</f>
        <v>8</v>
      </c>
      <c r="D158">
        <f t="shared" si="9"/>
        <v>150</v>
      </c>
      <c r="E158" s="29">
        <f t="shared" si="8"/>
        <v>5.3333333333333339</v>
      </c>
      <c r="F158" s="29">
        <f t="shared" si="10"/>
        <v>99.999999999999972</v>
      </c>
    </row>
    <row r="171" spans="2:9" ht="18.5" x14ac:dyDescent="0.45">
      <c r="C171" s="37" t="s">
        <v>55</v>
      </c>
      <c r="D171" s="37"/>
      <c r="E171" s="37"/>
      <c r="F171" s="37"/>
      <c r="G171" s="37"/>
      <c r="H171" s="37"/>
      <c r="I171" s="37"/>
    </row>
    <row r="174" spans="2:9" ht="18.5" x14ac:dyDescent="0.45">
      <c r="D174" s="38" t="s">
        <v>56</v>
      </c>
      <c r="E174" s="38"/>
      <c r="F174" s="38"/>
      <c r="G174" s="38"/>
    </row>
    <row r="176" spans="2:9" ht="18.5" x14ac:dyDescent="0.45">
      <c r="B176" s="4" t="s">
        <v>8</v>
      </c>
      <c r="C176" s="4" t="s">
        <v>57</v>
      </c>
      <c r="D176" s="4" t="s">
        <v>58</v>
      </c>
    </row>
    <row r="177" spans="2:4" x14ac:dyDescent="0.35">
      <c r="B177" s="8" t="s">
        <v>0</v>
      </c>
      <c r="C177">
        <f>COUNTIF(donnees!$F$2:$F$151,B177)</f>
        <v>50</v>
      </c>
      <c r="D177">
        <f>C177/$C$180*100</f>
        <v>33.333333333333329</v>
      </c>
    </row>
    <row r="178" spans="2:4" x14ac:dyDescent="0.35">
      <c r="B178" s="8" t="s">
        <v>1</v>
      </c>
      <c r="C178">
        <f>COUNTIF(donnees!$F$2:$F$151,B178)</f>
        <v>50</v>
      </c>
      <c r="D178">
        <f t="shared" ref="D178:D179" si="11">C178/$C$180*100</f>
        <v>33.333333333333329</v>
      </c>
    </row>
    <row r="179" spans="2:4" x14ac:dyDescent="0.35">
      <c r="B179" s="8" t="s">
        <v>2</v>
      </c>
      <c r="C179">
        <f>COUNTIF(donnees!$F$2:$F$151,B179)</f>
        <v>50</v>
      </c>
      <c r="D179">
        <f t="shared" si="11"/>
        <v>33.333333333333329</v>
      </c>
    </row>
    <row r="180" spans="2:4" x14ac:dyDescent="0.35">
      <c r="B180" s="39" t="s">
        <v>51</v>
      </c>
      <c r="C180" s="31">
        <v>150</v>
      </c>
    </row>
    <row r="209" spans="2:7" ht="18.5" x14ac:dyDescent="0.45">
      <c r="D209" s="40" t="s">
        <v>59</v>
      </c>
      <c r="E209" s="41"/>
      <c r="F209" s="41"/>
      <c r="G209" s="41"/>
    </row>
    <row r="212" spans="2:7" ht="21" x14ac:dyDescent="0.5">
      <c r="B212" s="42" t="s">
        <v>60</v>
      </c>
      <c r="C212" t="s">
        <v>47</v>
      </c>
      <c r="D212" t="s">
        <v>61</v>
      </c>
    </row>
    <row r="213" spans="2:7" x14ac:dyDescent="0.35">
      <c r="B213" t="s">
        <v>25</v>
      </c>
      <c r="C213">
        <f>COUNTIF(donnees!$I$2:$I$151,B213)</f>
        <v>50</v>
      </c>
      <c r="D213">
        <f>C213/$C$216*100</f>
        <v>33.333333333333329</v>
      </c>
    </row>
    <row r="214" spans="2:7" x14ac:dyDescent="0.35">
      <c r="B214" t="s">
        <v>35</v>
      </c>
      <c r="C214">
        <f>COUNTIF(donnees!$I$2:$I$151,B214)</f>
        <v>87</v>
      </c>
      <c r="D214">
        <f t="shared" ref="D214:D215" si="12">C214/$C$216*100</f>
        <v>57.999999999999993</v>
      </c>
    </row>
    <row r="215" spans="2:7" x14ac:dyDescent="0.35">
      <c r="B215" t="s">
        <v>15</v>
      </c>
      <c r="C215">
        <f>COUNTIF(donnees!$I$2:$I$151,B215)</f>
        <v>13</v>
      </c>
      <c r="D215">
        <f t="shared" si="12"/>
        <v>8.6666666666666679</v>
      </c>
    </row>
    <row r="216" spans="2:7" x14ac:dyDescent="0.35">
      <c r="B216" t="s">
        <v>51</v>
      </c>
      <c r="C216">
        <f>SUM(C213:C215)</f>
        <v>150</v>
      </c>
    </row>
    <row r="242" spans="4:14" ht="18.5" x14ac:dyDescent="0.45">
      <c r="D242" s="38" t="s">
        <v>62</v>
      </c>
      <c r="E242" s="27"/>
      <c r="F242" s="27"/>
      <c r="G242" s="27"/>
      <c r="H242" s="27"/>
    </row>
    <row r="245" spans="4:14" ht="18.5" x14ac:dyDescent="0.45">
      <c r="D245" s="43" t="s">
        <v>63</v>
      </c>
      <c r="E245" s="43"/>
      <c r="F245" s="43"/>
      <c r="G245" s="43"/>
      <c r="H245" s="43"/>
    </row>
    <row r="248" spans="4:14" x14ac:dyDescent="0.35">
      <c r="E248" s="24" t="s">
        <v>64</v>
      </c>
      <c r="F248" s="24"/>
      <c r="L248" s="24" t="s">
        <v>65</v>
      </c>
      <c r="M248" s="24"/>
      <c r="N248" s="24"/>
    </row>
    <row r="251" spans="4:14" ht="15.5" x14ac:dyDescent="0.35">
      <c r="K251" s="46" t="s">
        <v>66</v>
      </c>
      <c r="L251" s="44">
        <f>CORREL(donnees!B2:B151,donnees!C2:C151)</f>
        <v>-0.10936924995064935</v>
      </c>
      <c r="M251" s="44"/>
      <c r="N251" s="44"/>
    </row>
    <row r="253" spans="4:14" ht="14.5" customHeight="1" x14ac:dyDescent="0.35">
      <c r="K253" s="45" t="s">
        <v>67</v>
      </c>
      <c r="L253" s="45"/>
      <c r="M253" s="45"/>
      <c r="N253" s="45"/>
    </row>
    <row r="254" spans="4:14" x14ac:dyDescent="0.35">
      <c r="K254" s="45"/>
      <c r="L254" s="45"/>
      <c r="M254" s="45"/>
      <c r="N254" s="45"/>
    </row>
    <row r="255" spans="4:14" x14ac:dyDescent="0.35">
      <c r="K255" s="45"/>
      <c r="L255" s="45"/>
      <c r="M255" s="45"/>
      <c r="N255" s="45"/>
    </row>
    <row r="256" spans="4:14" x14ac:dyDescent="0.35">
      <c r="K256" s="45"/>
      <c r="L256" s="45"/>
      <c r="M256" s="45"/>
      <c r="N256" s="45"/>
    </row>
    <row r="257" spans="11:14" x14ac:dyDescent="0.35">
      <c r="K257" s="45"/>
      <c r="L257" s="45"/>
      <c r="M257" s="45"/>
      <c r="N257" s="45"/>
    </row>
    <row r="258" spans="11:14" x14ac:dyDescent="0.35">
      <c r="K258" s="45"/>
      <c r="L258" s="45"/>
      <c r="M258" s="45"/>
      <c r="N258" s="45"/>
    </row>
    <row r="259" spans="11:14" x14ac:dyDescent="0.35">
      <c r="K259" s="45"/>
      <c r="L259" s="45"/>
      <c r="M259" s="45"/>
      <c r="N259" s="45"/>
    </row>
    <row r="260" spans="11:14" x14ac:dyDescent="0.35">
      <c r="K260" s="45"/>
      <c r="L260" s="45"/>
      <c r="M260" s="45"/>
      <c r="N260" s="45"/>
    </row>
    <row r="261" spans="11:14" x14ac:dyDescent="0.35">
      <c r="K261" s="45"/>
      <c r="L261" s="45"/>
      <c r="M261" s="45"/>
      <c r="N261" s="45"/>
    </row>
  </sheetData>
  <mergeCells count="15">
    <mergeCell ref="L251:N251"/>
    <mergeCell ref="K253:N261"/>
    <mergeCell ref="D209:G209"/>
    <mergeCell ref="D242:H242"/>
    <mergeCell ref="D245:H245"/>
    <mergeCell ref="E248:F248"/>
    <mergeCell ref="L248:N248"/>
    <mergeCell ref="D46:H46"/>
    <mergeCell ref="D83:G83"/>
    <mergeCell ref="D133:G133"/>
    <mergeCell ref="C171:I171"/>
    <mergeCell ref="D174:G174"/>
    <mergeCell ref="B1:J1"/>
    <mergeCell ref="D3:H3"/>
    <mergeCell ref="E5:G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Feuil3</vt:lpstr>
      <vt:lpstr>Feuil4</vt:lpstr>
      <vt:lpstr>Feuil5</vt:lpstr>
      <vt:lpstr>Feuil6</vt:lpstr>
      <vt:lpstr>Feuil7</vt:lpstr>
      <vt:lpstr>donnees</vt:lpstr>
      <vt:lpstr>analyse</vt:lpstr>
      <vt:lpstr>Feuil2</vt:lpstr>
      <vt:lpstr>Feuil8</vt:lpstr>
      <vt:lpstr>Analyse_données</vt:lpstr>
      <vt:lpstr>croisé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Meranda</cp:lastModifiedBy>
  <dcterms:created xsi:type="dcterms:W3CDTF">2025-10-13T21:04:11Z</dcterms:created>
  <dcterms:modified xsi:type="dcterms:W3CDTF">2025-10-16T09:45:21Z</dcterms:modified>
</cp:coreProperties>
</file>